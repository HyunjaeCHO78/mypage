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ide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Checklist" sheetId="3" state="visible" r:id="rId3"/>
    <sheet xmlns:r="http://schemas.openxmlformats.org/officeDocument/2006/relationships" name="Market" sheetId="4" state="visible" r:id="rId4"/>
    <sheet xmlns:r="http://schemas.openxmlformats.org/officeDocument/2006/relationships" name="Sector" sheetId="5" state="visible" r:id="rId5"/>
    <sheet xmlns:r="http://schemas.openxmlformats.org/officeDocument/2006/relationships" name="Stocks" sheetId="6" state="visible" r:id="rId6"/>
    <sheet xmlns:r="http://schemas.openxmlformats.org/officeDocument/2006/relationships" name="Plan" sheetId="7" state="visible" r:id="rId7"/>
    <sheet xmlns:r="http://schemas.openxmlformats.org/officeDocument/2006/relationships" name="Journal" sheetId="8" state="visible" r:id="rId8"/>
    <sheet xmlns:r="http://schemas.openxmlformats.org/officeDocument/2006/relationships" name="Dashboard" sheetId="9" state="visible" r:id="rId9"/>
    <sheet xmlns:r="http://schemas.openxmlformats.org/officeDocument/2006/relationships" name="Training" sheetId="10" state="visible" r:id="rId10"/>
  </sheets>
  <definedNames>
    <definedName name="_xlnm._FilterDatabase" localSheetId="0" hidden="1">'Guide'!$A$8:$D$16</definedName>
    <definedName name="_xlnm._FilterDatabase" localSheetId="1" hidden="1">'Settings'!$A$3:$E$13</definedName>
    <definedName name="_xlnm._FilterDatabase" localSheetId="2" hidden="1">'Checklist'!$A$3:$G$18</definedName>
    <definedName name="_xlnm._FilterDatabase" localSheetId="3" hidden="1">'Market'!$A$3:$H$18</definedName>
    <definedName name="_xlnm._FilterDatabase" localSheetId="4" hidden="1">'Sector'!$A$3:$I$19</definedName>
    <definedName name="_xlnm._FilterDatabase" localSheetId="5" hidden="1">'Stocks'!$A$3:$N$23</definedName>
    <definedName name="_xlnm._FilterDatabase" localSheetId="6" hidden="1">'Plan'!$A$3:$J$19</definedName>
    <definedName name="_xlnm._FilterDatabase" localSheetId="7" hidden="1">'Journal'!$A$3:$K$21</definedName>
    <definedName name="_xlnm._FilterDatabase" localSheetId="9" hidden="1">'Training'!$A$3:$F$33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  <sz val="11"/>
    </font>
    <font>
      <b val="1"/>
      <color rgb="00FFFFFF"/>
    </font>
    <font>
      <color rgb="000000FF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7E6E6"/>
      </patternFill>
    </fill>
    <fill>
      <patternFill patternType="solid">
        <fgColor rgb="00666666"/>
      </patternFill>
    </fill>
    <fill>
      <patternFill patternType="solid">
        <fgColor rgb="00EADCF8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DE9E7"/>
      </patternFill>
    </fill>
  </fills>
  <borders count="3">
    <border>
      <left/>
      <right/>
      <top/>
      <bottom/>
      <diagonal/>
    </border>
    <border>
      <top style="medium">
        <color rgb="007F7F7F"/>
      </top>
      <bottom style="medium">
        <color rgb="007F7F7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1" pivotButton="0" quotePrefix="0" xfId="0"/>
    <xf numFmtId="0" fontId="2" fillId="3" borderId="2" applyAlignment="1" pivotButton="0" quotePrefix="0" xfId="0">
      <alignment vertical="center" wrapText="1"/>
    </xf>
    <xf numFmtId="0" fontId="0" fillId="0" borderId="2" applyAlignment="1" pivotButton="0" quotePrefix="0" xfId="0">
      <alignment vertical="center" wrapText="1"/>
    </xf>
    <xf numFmtId="0" fontId="3" fillId="4" borderId="0" applyAlignment="1" pivotButton="0" quotePrefix="0" xfId="0">
      <alignment horizontal="left" vertical="center"/>
    </xf>
    <xf numFmtId="0" fontId="4" fillId="2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vertical="center" wrapText="1"/>
    </xf>
    <xf numFmtId="0" fontId="0" fillId="3" borderId="2" applyAlignment="1" pivotButton="0" quotePrefix="0" xfId="0">
      <alignment vertical="center" wrapText="1"/>
    </xf>
    <xf numFmtId="0" fontId="0" fillId="5" borderId="2" applyAlignment="1" pivotButton="0" quotePrefix="0" xfId="0">
      <alignment vertical="center" wrapText="1"/>
    </xf>
    <xf numFmtId="0" fontId="0" fillId="6" borderId="2" applyAlignment="1" pivotButton="0" quotePrefix="0" xfId="0">
      <alignment vertical="center" wrapText="1"/>
    </xf>
    <xf numFmtId="0" fontId="0" fillId="7" borderId="2" applyAlignment="1" pivotButton="0" quotePrefix="0" xfId="0">
      <alignment vertical="center" wrapText="1"/>
    </xf>
    <xf numFmtId="0" fontId="0" fillId="8" borderId="2" applyAlignment="1" pivotButton="0" quotePrefix="0" xfId="0">
      <alignment vertical="center" wrapText="1"/>
    </xf>
    <xf numFmtId="3" fontId="5" fillId="5" borderId="2" applyAlignment="1" pivotButton="0" quotePrefix="0" xfId="0">
      <alignment vertical="center" wrapText="1"/>
    </xf>
    <xf numFmtId="164" fontId="5" fillId="5" borderId="2" applyAlignment="1" pivotButton="0" quotePrefix="0" xfId="0">
      <alignment vertical="center" wrapText="1"/>
    </xf>
    <xf numFmtId="0" fontId="0" fillId="6" borderId="0" pivotButton="0" quotePrefix="0" xfId="0"/>
    <xf numFmtId="164" fontId="0" fillId="0" borderId="0" pivotButton="0" quotePrefix="0" xfId="0"/>
    <xf numFmtId="0" fontId="0" fillId="0" borderId="2" pivotButton="0" quotePrefix="0" xfId="0"/>
    <xf numFmtId="3" fontId="0" fillId="0" borderId="2" applyAlignment="1" pivotButton="0" quotePrefix="0" xfId="0">
      <alignment vertical="center" wrapText="1"/>
    </xf>
    <xf numFmtId="3" fontId="0" fillId="0" borderId="2" pivotButton="0" quotePrefix="0" xfId="0"/>
    <xf numFmtId="164" fontId="0" fillId="0" borderId="2" applyAlignment="1" pivotButton="0" quotePrefix="0" xfId="0">
      <alignment vertical="center" wrapText="1"/>
    </xf>
    <xf numFmtId="164" fontId="0" fillId="0" borderId="2" pivotButton="0" quotePrefix="0" xfId="0"/>
    <xf numFmtId="164" fontId="0" fillId="6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고수 종목 겹치기 실전 체크 시스템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버전</t>
        </is>
      </c>
      <c r="B2" s="4" t="inlineStr">
        <is>
          <t>샘플 3일치 입력본</t>
        </is>
      </c>
    </row>
    <row r="3">
      <c r="A3" s="3" t="inlineStr">
        <is>
          <t>파일 목적</t>
        </is>
      </c>
      <c r="B3" s="4" t="inlineStr">
        <is>
          <t>시황 -&gt; 섹터 -&gt; 종목 -&gt; 매매계획 -&gt; 복기의 순서로 종목을 압축하도록 만든 실전 체크용 엑셀입니다.</t>
        </is>
      </c>
    </row>
    <row r="4">
      <c r="A4" s="3" t="inlineStr">
        <is>
          <t>권장 사용 흐름</t>
        </is>
      </c>
      <c r="B4" s="4" t="inlineStr">
        <is>
          <t>① Settings 입력 -&gt; ② Checklist로 루틴 점검 -&gt; ③ Market/Sector/Stocks 작성 -&gt; ④ Plan 수립 -&gt; ⑤ Journal 기록 -&gt; ⑥ Dashboard/Training 복기</t>
        </is>
      </c>
    </row>
    <row r="5">
      <c r="A5" s="3" t="inlineStr">
        <is>
          <t>핵심 원칙</t>
        </is>
      </c>
      <c r="B5" s="4" t="inlineStr">
        <is>
          <t>종목부터 보지 말고 시장/섹터부터 보고, 대장주냐 2등주냐보다 '지금 내가 먹을 구간'이 있는지를 먼저 판단합니다.</t>
        </is>
      </c>
    </row>
    <row r="7" ht="22" customHeight="1">
      <c r="A7" s="5" t="inlineStr">
        <is>
          <t>시트별 사용법</t>
        </is>
      </c>
    </row>
    <row r="8" ht="24" customHeight="1">
      <c r="A8" s="6" t="inlineStr">
        <is>
          <t>시트명</t>
        </is>
      </c>
      <c r="B8" s="6" t="inlineStr">
        <is>
          <t>무엇을 하는 곳인가</t>
        </is>
      </c>
      <c r="C8" s="6" t="inlineStr">
        <is>
          <t>언제 쓰나</t>
        </is>
      </c>
      <c r="D8" s="6" t="inlineStr">
        <is>
          <t>핵심 포인트</t>
        </is>
      </c>
    </row>
    <row r="9">
      <c r="A9" s="7" t="inlineStr">
        <is>
          <t>Settings</t>
        </is>
      </c>
      <c r="B9" s="4" t="inlineStr">
        <is>
          <t>총 시드, 1회 최대 리스크, 목표수익, 손절, 가중치 설정</t>
        </is>
      </c>
      <c r="C9" s="4" t="inlineStr">
        <is>
          <t>가장 먼저</t>
        </is>
      </c>
      <c r="D9" s="4" t="inlineStr">
        <is>
          <t>파란 글씨 셀만 수정</t>
        </is>
      </c>
    </row>
    <row r="10">
      <c r="A10" s="7" t="inlineStr">
        <is>
          <t>Checklist</t>
        </is>
      </c>
      <c r="B10" s="4" t="inlineStr">
        <is>
          <t>저녁 준비/아침 대응/복기 루틴 점검</t>
        </is>
      </c>
      <c r="C10" s="4" t="inlineStr">
        <is>
          <t>매일 1회</t>
        </is>
      </c>
      <c r="D10" s="4" t="inlineStr">
        <is>
          <t>체크 점수 80% 이상 목표</t>
        </is>
      </c>
    </row>
    <row r="11">
      <c r="A11" s="7" t="inlineStr">
        <is>
          <t>Market</t>
        </is>
      </c>
      <c r="B11" s="4" t="inlineStr">
        <is>
          <t>미국장, 유가, 반도체, 거시변수, 시장 결론 기록</t>
        </is>
      </c>
      <c r="C11" s="4" t="inlineStr">
        <is>
          <t>매 거래일</t>
        </is>
      </c>
      <c r="D11" s="4" t="inlineStr">
        <is>
          <t>시황 점수부터 기록</t>
        </is>
      </c>
    </row>
    <row r="12">
      <c r="A12" s="7" t="inlineStr">
        <is>
          <t>Sector</t>
        </is>
      </c>
      <c r="B12" s="4" t="inlineStr">
        <is>
          <t>후보 섹터 1~5개 평가 후 최종 1~2개 압축</t>
        </is>
      </c>
      <c r="C12" s="4" t="inlineStr">
        <is>
          <t>매 거래일</t>
        </is>
      </c>
      <c r="D12" s="4" t="inlineStr">
        <is>
          <t>이유를 한 줄로 적기</t>
        </is>
      </c>
    </row>
    <row r="13">
      <c r="A13" s="7" t="inlineStr">
        <is>
          <t>Stocks</t>
        </is>
      </c>
      <c r="B13" s="4" t="inlineStr">
        <is>
          <t>후보 종목을 0~2점 기준으로 점수화</t>
        </is>
      </c>
      <c r="C13" s="4" t="inlineStr">
        <is>
          <t>매 거래일</t>
        </is>
      </c>
      <c r="D13" s="4" t="inlineStr">
        <is>
          <t>총점 80점 이상 우선</t>
        </is>
      </c>
    </row>
    <row r="14">
      <c r="A14" s="7" t="inlineStr">
        <is>
          <t>Plan</t>
        </is>
      </c>
      <c r="B14" s="4" t="inlineStr">
        <is>
          <t>진입가/손절가/목표가/수량/손익비 설계</t>
        </is>
      </c>
      <c r="C14" s="4" t="inlineStr">
        <is>
          <t>매수 전</t>
        </is>
      </c>
      <c r="D14" s="4" t="inlineStr">
        <is>
          <t>손절 기준 먼저 작성</t>
        </is>
      </c>
    </row>
    <row r="15">
      <c r="A15" s="7" t="inlineStr">
        <is>
          <t>Journal</t>
        </is>
      </c>
      <c r="B15" s="4" t="inlineStr">
        <is>
          <t>실제 체결, 감정, 규칙 위반, 잘한 점/개선점 기록</t>
        </is>
      </c>
      <c r="C15" s="4" t="inlineStr">
        <is>
          <t>매매 후</t>
        </is>
      </c>
      <c r="D15" s="4" t="inlineStr">
        <is>
          <t>당일 바로 작성</t>
        </is>
      </c>
    </row>
    <row r="16">
      <c r="A16" s="7" t="inlineStr">
        <is>
          <t>Dashboard</t>
        </is>
      </c>
      <c r="B16" s="4" t="inlineStr">
        <is>
          <t>승률, 평균수익률, 누적손익, 주차별·섹터별 요약</t>
        </is>
      </c>
      <c r="C16" s="4" t="inlineStr">
        <is>
          <t>주 1회</t>
        </is>
      </c>
      <c r="D16" s="4" t="inlineStr">
        <is>
          <t>숫자로 점검</t>
        </is>
      </c>
    </row>
    <row r="17">
      <c r="A17" s="7" t="inlineStr">
        <is>
          <t>Training</t>
        </is>
      </c>
      <c r="B17" s="4" t="inlineStr">
        <is>
          <t>30일 훈련 루틴과 완료 여부 체크</t>
        </is>
      </c>
      <c r="C17" s="4" t="inlineStr">
        <is>
          <t>하루 1칸</t>
        </is>
      </c>
      <c r="D17" s="4" t="inlineStr">
        <is>
          <t>완료율 90% 목표</t>
        </is>
      </c>
    </row>
    <row r="20" ht="22" customHeight="1">
      <c r="A20" s="5" t="inlineStr">
        <is>
          <t>색상 규칙</t>
        </is>
      </c>
    </row>
    <row r="21" ht="24" customHeight="1">
      <c r="A21" s="6" t="inlineStr">
        <is>
          <t>색상 표시</t>
        </is>
      </c>
      <c r="B21" s="6" t="inlineStr">
        <is>
          <t>의미</t>
        </is>
      </c>
      <c r="C21" s="6" t="inlineStr">
        <is>
          <t>설명</t>
        </is>
      </c>
    </row>
    <row r="22">
      <c r="A22" s="4" t="inlineStr">
        <is>
          <t>파란 글씨</t>
        </is>
      </c>
      <c r="B22" s="4" t="inlineStr">
        <is>
          <t>직접 입력값</t>
        </is>
      </c>
      <c r="C22" s="4" t="inlineStr">
        <is>
          <t>사용자가 바꾸는 값</t>
        </is>
      </c>
    </row>
    <row r="23">
      <c r="A23" s="4" t="inlineStr">
        <is>
          <t>검은 글씨</t>
        </is>
      </c>
      <c r="B23" s="4" t="inlineStr">
        <is>
          <t>자동 계산/기록</t>
        </is>
      </c>
      <c r="C23" s="4" t="inlineStr">
        <is>
          <t>공식 또는 고정값</t>
        </is>
      </c>
    </row>
    <row r="24">
      <c r="A24" s="8" t="inlineStr">
        <is>
          <t>회색 배경</t>
        </is>
      </c>
      <c r="B24" s="8" t="inlineStr">
        <is>
          <t>설명/고정 텍스트</t>
        </is>
      </c>
      <c r="C24" s="8" t="inlineStr">
        <is>
          <t>가이드 영역</t>
        </is>
      </c>
    </row>
    <row r="25">
      <c r="A25" s="9" t="inlineStr">
        <is>
          <t>연보라 배경</t>
        </is>
      </c>
      <c r="B25" s="9" t="inlineStr">
        <is>
          <t>설정/제어 구간</t>
        </is>
      </c>
      <c r="C25" s="9" t="inlineStr">
        <is>
          <t>리스크, 가중치, 프로필</t>
        </is>
      </c>
    </row>
    <row r="26">
      <c r="A26" s="10" t="inlineStr">
        <is>
          <t>연노랑 배경</t>
        </is>
      </c>
      <c r="B26" s="10" t="inlineStr">
        <is>
          <t>핵심 KPI</t>
        </is>
      </c>
      <c r="C26" s="10" t="inlineStr">
        <is>
          <t>당일 결론, 최종 후보</t>
        </is>
      </c>
    </row>
    <row r="27">
      <c r="A27" s="11" t="inlineStr">
        <is>
          <t>연주황 배경</t>
        </is>
      </c>
      <c r="B27" s="11" t="inlineStr">
        <is>
          <t>주의/확인 필요</t>
        </is>
      </c>
      <c r="C27" s="11" t="inlineStr">
        <is>
          <t>재검토 항목</t>
        </is>
      </c>
    </row>
    <row r="28">
      <c r="A28" s="12" t="inlineStr">
        <is>
          <t>연빨강 배경</t>
        </is>
      </c>
      <c r="B28" s="12" t="inlineStr">
        <is>
          <t>손실/위반/경고</t>
        </is>
      </c>
      <c r="C28" s="12" t="inlineStr">
        <is>
          <t>규칙 위반, 손절 경고</t>
        </is>
      </c>
    </row>
  </sheetData>
  <autoFilter ref="A8:D16"/>
  <mergeCells count="3">
    <mergeCell ref="A7:H7"/>
    <mergeCell ref="A20:H20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30" customWidth="1" min="4" max="4"/>
    <col width="18" customWidth="1" min="5" max="5"/>
  </cols>
  <sheetData>
    <row r="1" ht="28" customHeight="1">
      <c r="A1" s="1" t="inlineStr">
        <is>
          <t>기본 설정</t>
        </is>
      </c>
      <c r="B1" s="2" t="n"/>
      <c r="C1" s="2" t="n"/>
      <c r="D1" s="2" t="n"/>
      <c r="E1" s="2" t="n"/>
    </row>
    <row r="3" ht="24" customHeight="1">
      <c r="A3" s="6" t="inlineStr">
        <is>
          <t>항목</t>
        </is>
      </c>
      <c r="B3" s="6" t="inlineStr">
        <is>
          <t>값</t>
        </is>
      </c>
      <c r="C3" s="6" t="inlineStr">
        <is>
          <t>단위</t>
        </is>
      </c>
      <c r="D3" s="6" t="inlineStr">
        <is>
          <t>설명</t>
        </is>
      </c>
      <c r="E3" s="6" t="inlineStr">
        <is>
          <t>메모</t>
        </is>
      </c>
    </row>
    <row r="4">
      <c r="A4" s="4" t="inlineStr">
        <is>
          <t>총 시드</t>
        </is>
      </c>
      <c r="B4" s="13" t="n">
        <v>10000000</v>
      </c>
      <c r="C4" s="4" t="inlineStr">
        <is>
          <t>원</t>
        </is>
      </c>
      <c r="D4" s="4" t="inlineStr">
        <is>
          <t>총 운용 자금</t>
        </is>
      </c>
      <c r="E4" s="4" t="inlineStr">
        <is>
          <t>입력</t>
        </is>
      </c>
    </row>
    <row r="5">
      <c r="A5" s="4" t="inlineStr">
        <is>
          <t>1회 최대 리스크</t>
        </is>
      </c>
      <c r="B5" s="13" t="n">
        <v>100000</v>
      </c>
      <c r="C5" s="4" t="inlineStr">
        <is>
          <t>원</t>
        </is>
      </c>
      <c r="D5" s="4" t="inlineStr">
        <is>
          <t>한 번 틀렸을 때 감수할 최대 손실</t>
        </is>
      </c>
      <c r="E5" s="4" t="inlineStr">
        <is>
          <t>입력</t>
        </is>
      </c>
    </row>
    <row r="6">
      <c r="A6" s="4" t="inlineStr">
        <is>
          <t>1회 최대 투입비중</t>
        </is>
      </c>
      <c r="B6" s="14" t="n">
        <v>20</v>
      </c>
      <c r="C6" s="4" t="inlineStr">
        <is>
          <t>%</t>
        </is>
      </c>
      <c r="D6" s="4" t="inlineStr">
        <is>
          <t>한 종목 최대 진입 비중</t>
        </is>
      </c>
      <c r="E6" s="4" t="inlineStr">
        <is>
          <t>입력</t>
        </is>
      </c>
    </row>
    <row r="7">
      <c r="A7" s="4" t="inlineStr">
        <is>
          <t>1차 익절 목표</t>
        </is>
      </c>
      <c r="B7" s="14" t="n">
        <v>1.5</v>
      </c>
      <c r="C7" s="4" t="inlineStr">
        <is>
          <t>%</t>
        </is>
      </c>
      <c r="D7" s="4" t="inlineStr">
        <is>
          <t>시초 강세 시 우선 익절 구간</t>
        </is>
      </c>
      <c r="E7" s="4" t="inlineStr">
        <is>
          <t>입력</t>
        </is>
      </c>
    </row>
    <row r="8">
      <c r="A8" s="4" t="inlineStr">
        <is>
          <t>최대 손절 기준</t>
        </is>
      </c>
      <c r="B8" s="14" t="n">
        <v>-1</v>
      </c>
      <c r="C8" s="4" t="inlineStr">
        <is>
          <t>%</t>
        </is>
      </c>
      <c r="D8" s="4" t="inlineStr">
        <is>
          <t>규칙상 손절 기준</t>
        </is>
      </c>
      <c r="E8" s="4" t="inlineStr">
        <is>
          <t>입력</t>
        </is>
      </c>
    </row>
    <row r="9">
      <c r="A9" s="4" t="inlineStr">
        <is>
          <t>후보 종목 수</t>
        </is>
      </c>
      <c r="B9" s="14" t="n">
        <v>3</v>
      </c>
      <c r="C9" s="4" t="inlineStr">
        <is>
          <t>개</t>
        </is>
      </c>
      <c r="D9" s="4" t="inlineStr">
        <is>
          <t>매일 압축할 종목 수</t>
        </is>
      </c>
      <c r="E9" s="4" t="inlineStr">
        <is>
          <t>입력</t>
        </is>
      </c>
    </row>
    <row r="10">
      <c r="A10" s="4" t="inlineStr">
        <is>
          <t>체크리스트 목표점수</t>
        </is>
      </c>
      <c r="B10" s="14" t="n">
        <v>80</v>
      </c>
      <c r="C10" s="4" t="inlineStr">
        <is>
          <t>%</t>
        </is>
      </c>
      <c r="D10" s="4" t="inlineStr">
        <is>
          <t>이 미만이면 쉬거나 비중 축소</t>
        </is>
      </c>
      <c r="E10" s="4" t="inlineStr">
        <is>
          <t>입력</t>
        </is>
      </c>
    </row>
    <row r="11">
      <c r="A11" s="4" t="inlineStr">
        <is>
          <t>시장 점수 가중치</t>
        </is>
      </c>
      <c r="B11" s="14" t="n">
        <v>30</v>
      </c>
      <c r="C11" s="4" t="inlineStr">
        <is>
          <t>%</t>
        </is>
      </c>
      <c r="D11" s="4" t="inlineStr">
        <is>
          <t>시장 해석의 중요도</t>
        </is>
      </c>
      <c r="E11" s="4" t="inlineStr">
        <is>
          <t>입력</t>
        </is>
      </c>
    </row>
    <row r="12">
      <c r="A12" s="4" t="inlineStr">
        <is>
          <t>섹터 점수 가중치</t>
        </is>
      </c>
      <c r="B12" s="14" t="n">
        <v>20</v>
      </c>
      <c r="C12" s="4" t="inlineStr">
        <is>
          <t>%</t>
        </is>
      </c>
      <c r="D12" s="4" t="inlineStr">
        <is>
          <t>섹터 선정 중요도</t>
        </is>
      </c>
      <c r="E12" s="4" t="inlineStr">
        <is>
          <t>입력</t>
        </is>
      </c>
    </row>
    <row r="13">
      <c r="A13" s="4" t="inlineStr">
        <is>
          <t>종목 점수 가중치</t>
        </is>
      </c>
      <c r="B13" s="14" t="n">
        <v>50</v>
      </c>
      <c r="C13" s="4" t="inlineStr">
        <is>
          <t>%</t>
        </is>
      </c>
      <c r="D13" s="4" t="inlineStr">
        <is>
          <t>종목 압축 중요도</t>
        </is>
      </c>
      <c r="E13" s="4" t="inlineStr">
        <is>
          <t>입력</t>
        </is>
      </c>
    </row>
  </sheetData>
  <autoFilter ref="A3:E13"/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10" customWidth="1" min="3" max="3"/>
    <col width="12" customWidth="1" min="4" max="4"/>
    <col width="12" customWidth="1" min="5" max="5"/>
    <col width="14" customWidth="1" min="6" max="6"/>
    <col width="30" customWidth="1" min="7" max="7"/>
  </cols>
  <sheetData>
    <row r="1" ht="28" customHeight="1">
      <c r="A1" s="1" t="inlineStr">
        <is>
          <t>일일 루틴 체크리스트</t>
        </is>
      </c>
      <c r="B1" s="2" t="n"/>
      <c r="C1" s="2" t="n"/>
      <c r="D1" s="2" t="n"/>
      <c r="E1" s="2" t="n"/>
      <c r="F1" s="2" t="n"/>
      <c r="G1" s="2" t="n"/>
    </row>
    <row r="2">
      <c r="I2" s="15" t="inlineStr">
        <is>
          <t>총점</t>
        </is>
      </c>
      <c r="J2" s="16">
        <f>SUM(D4:D18)*100</f>
        <v/>
      </c>
    </row>
    <row r="3" ht="24" customHeight="1">
      <c r="A3" s="6" t="inlineStr">
        <is>
          <t>구분</t>
        </is>
      </c>
      <c r="B3" s="6" t="inlineStr">
        <is>
          <t>체크 항목</t>
        </is>
      </c>
      <c r="C3" s="6" t="inlineStr">
        <is>
          <t>완료(Y/N)</t>
        </is>
      </c>
      <c r="D3" s="6" t="inlineStr">
        <is>
          <t>점수</t>
        </is>
      </c>
      <c r="E3" s="6" t="inlineStr">
        <is>
          <t>중요도</t>
        </is>
      </c>
      <c r="F3" s="6" t="inlineStr">
        <is>
          <t>시간대</t>
        </is>
      </c>
      <c r="G3" s="6" t="inlineStr">
        <is>
          <t>메모</t>
        </is>
      </c>
      <c r="I3" s="15" t="inlineStr">
        <is>
          <t>판정</t>
        </is>
      </c>
      <c r="J3">
        <f>IF(J2&gt;=80,"실행 가능","관망/비중축소")</f>
        <v/>
      </c>
    </row>
    <row r="4">
      <c r="A4" s="4" t="inlineStr">
        <is>
          <t>저녁</t>
        </is>
      </c>
      <c r="B4" s="4" t="inlineStr">
        <is>
          <t>미국장 방향 확인</t>
        </is>
      </c>
      <c r="C4" s="9" t="inlineStr"/>
      <c r="D4" s="8">
        <f>IF(C4="Y",20/15,0)</f>
        <v/>
      </c>
      <c r="E4" s="4" t="n">
        <v>5</v>
      </c>
      <c r="F4" s="4" t="inlineStr">
        <is>
          <t>저녁</t>
        </is>
      </c>
      <c r="G4" s="4" t="inlineStr"/>
    </row>
    <row r="5">
      <c r="A5" s="4" t="inlineStr">
        <is>
          <t>저녁</t>
        </is>
      </c>
      <c r="B5" s="4" t="inlineStr">
        <is>
          <t>나스닥/반도체 강약 확인</t>
        </is>
      </c>
      <c r="C5" s="9" t="inlineStr"/>
      <c r="D5" s="8">
        <f>IF(C5="Y",20/15,0)</f>
        <v/>
      </c>
      <c r="E5" s="4" t="n">
        <v>5</v>
      </c>
      <c r="F5" s="4" t="inlineStr">
        <is>
          <t>저녁</t>
        </is>
      </c>
      <c r="G5" s="4" t="inlineStr"/>
    </row>
    <row r="6">
      <c r="A6" s="4" t="inlineStr">
        <is>
          <t>저녁</t>
        </is>
      </c>
      <c r="B6" s="4" t="inlineStr">
        <is>
          <t>유가/금리/환율 확인</t>
        </is>
      </c>
      <c r="C6" s="9" t="inlineStr"/>
      <c r="D6" s="8">
        <f>IF(C6="Y",20/15,0)</f>
        <v/>
      </c>
      <c r="E6" s="4" t="n">
        <v>4</v>
      </c>
      <c r="F6" s="4" t="inlineStr">
        <is>
          <t>저녁</t>
        </is>
      </c>
      <c r="G6" s="4" t="inlineStr"/>
    </row>
    <row r="7">
      <c r="A7" s="4" t="inlineStr">
        <is>
          <t>저녁</t>
        </is>
      </c>
      <c r="B7" s="4" t="inlineStr">
        <is>
          <t>내일 시장 한 줄 결론 작성</t>
        </is>
      </c>
      <c r="C7" s="9" t="inlineStr"/>
      <c r="D7" s="8">
        <f>IF(C7="Y",20/15,0)</f>
        <v/>
      </c>
      <c r="E7" s="4" t="n">
        <v>5</v>
      </c>
      <c r="F7" s="4" t="inlineStr">
        <is>
          <t>저녁</t>
        </is>
      </c>
      <c r="G7" s="4" t="inlineStr"/>
    </row>
    <row r="8">
      <c r="A8" s="4" t="inlineStr">
        <is>
          <t>저녁</t>
        </is>
      </c>
      <c r="B8" s="4" t="inlineStr">
        <is>
          <t>강세 예상 섹터 1~2개 압축</t>
        </is>
      </c>
      <c r="C8" s="9" t="inlineStr"/>
      <c r="D8" s="8">
        <f>IF(C8="Y",20/15,0)</f>
        <v/>
      </c>
      <c r="E8" s="4" t="n">
        <v>5</v>
      </c>
      <c r="F8" s="4" t="inlineStr">
        <is>
          <t>저녁</t>
        </is>
      </c>
      <c r="G8" s="4" t="inlineStr"/>
    </row>
    <row r="9">
      <c r="A9" s="4" t="inlineStr">
        <is>
          <t>저녁</t>
        </is>
      </c>
      <c r="B9" s="4" t="inlineStr">
        <is>
          <t>후보 종목 3개 이내 압축</t>
        </is>
      </c>
      <c r="C9" s="9" t="inlineStr"/>
      <c r="D9" s="8">
        <f>IF(C9="Y",20/15,0)</f>
        <v/>
      </c>
      <c r="E9" s="4" t="n">
        <v>5</v>
      </c>
      <c r="F9" s="4" t="inlineStr">
        <is>
          <t>저녁</t>
        </is>
      </c>
      <c r="G9" s="4" t="inlineStr"/>
    </row>
    <row r="10">
      <c r="A10" s="4" t="inlineStr">
        <is>
          <t>저녁</t>
        </is>
      </c>
      <c r="B10" s="4" t="inlineStr">
        <is>
          <t>종목별 매수 이유 1줄 작성</t>
        </is>
      </c>
      <c r="C10" s="9" t="inlineStr"/>
      <c r="D10" s="8">
        <f>IF(C10="Y",20/15,0)</f>
        <v/>
      </c>
      <c r="E10" s="4" t="n">
        <v>4</v>
      </c>
      <c r="F10" s="4" t="inlineStr">
        <is>
          <t>저녁</t>
        </is>
      </c>
      <c r="G10" s="4" t="inlineStr"/>
    </row>
    <row r="11">
      <c r="A11" s="4" t="inlineStr">
        <is>
          <t>저녁</t>
        </is>
      </c>
      <c r="B11" s="4" t="inlineStr">
        <is>
          <t>손절 기준 선작성</t>
        </is>
      </c>
      <c r="C11" s="9" t="inlineStr"/>
      <c r="D11" s="8">
        <f>IF(C11="Y",20/15,0)</f>
        <v/>
      </c>
      <c r="E11" s="4" t="n">
        <v>5</v>
      </c>
      <c r="F11" s="4" t="inlineStr">
        <is>
          <t>저녁</t>
        </is>
      </c>
      <c r="G11" s="4" t="inlineStr"/>
    </row>
    <row r="12">
      <c r="A12" s="4" t="inlineStr">
        <is>
          <t>아침</t>
        </is>
      </c>
      <c r="B12" s="4" t="inlineStr">
        <is>
          <t>전제가 유효한지 재확인</t>
        </is>
      </c>
      <c r="C12" s="9" t="inlineStr"/>
      <c r="D12" s="8">
        <f>IF(C12="Y",20/15,0)</f>
        <v/>
      </c>
      <c r="E12" s="4" t="n">
        <v>5</v>
      </c>
      <c r="F12" s="4" t="inlineStr">
        <is>
          <t>아침</t>
        </is>
      </c>
      <c r="G12" s="4" t="inlineStr"/>
    </row>
    <row r="13">
      <c r="A13" s="4" t="inlineStr">
        <is>
          <t>아침</t>
        </is>
      </c>
      <c r="B13" s="4" t="inlineStr">
        <is>
          <t>시초 강/약 비교</t>
        </is>
      </c>
      <c r="C13" s="9" t="inlineStr"/>
      <c r="D13" s="8">
        <f>IF(C13="Y",20/15,0)</f>
        <v/>
      </c>
      <c r="E13" s="4" t="n">
        <v>4</v>
      </c>
      <c r="F13" s="4" t="inlineStr">
        <is>
          <t>아침</t>
        </is>
      </c>
      <c r="G13" s="4" t="inlineStr"/>
    </row>
    <row r="14">
      <c r="A14" s="4" t="inlineStr">
        <is>
          <t>아침</t>
        </is>
      </c>
      <c r="B14" s="4" t="inlineStr">
        <is>
          <t>계획된 매도/손절 실행</t>
        </is>
      </c>
      <c r="C14" s="9" t="inlineStr"/>
      <c r="D14" s="8">
        <f>IF(C14="Y",20/15,0)</f>
        <v/>
      </c>
      <c r="E14" s="4" t="n">
        <v>5</v>
      </c>
      <c r="F14" s="4" t="inlineStr">
        <is>
          <t>아침</t>
        </is>
      </c>
      <c r="G14" s="4" t="inlineStr"/>
    </row>
    <row r="15">
      <c r="A15" s="4" t="inlineStr">
        <is>
          <t>복기</t>
        </is>
      </c>
      <c r="B15" s="4" t="inlineStr">
        <is>
          <t>실제 강했던 섹터 기록</t>
        </is>
      </c>
      <c r="C15" s="9" t="inlineStr"/>
      <c r="D15" s="8">
        <f>IF(C15="Y",20/15,0)</f>
        <v/>
      </c>
      <c r="E15" s="4" t="n">
        <v>4</v>
      </c>
      <c r="F15" s="4" t="inlineStr">
        <is>
          <t>매매 후</t>
        </is>
      </c>
      <c r="G15" s="4" t="inlineStr"/>
    </row>
    <row r="16">
      <c r="A16" s="4" t="inlineStr">
        <is>
          <t>복기</t>
        </is>
      </c>
      <c r="B16" s="4" t="inlineStr">
        <is>
          <t>놓친 더 좋은 종목 기록</t>
        </is>
      </c>
      <c r="C16" s="9" t="inlineStr"/>
      <c r="D16" s="8">
        <f>IF(C16="Y",20/15,0)</f>
        <v/>
      </c>
      <c r="E16" s="4" t="n">
        <v>3</v>
      </c>
      <c r="F16" s="4" t="inlineStr">
        <is>
          <t>매매 후</t>
        </is>
      </c>
      <c r="G16" s="4" t="inlineStr"/>
    </row>
    <row r="17">
      <c r="A17" s="4" t="inlineStr">
        <is>
          <t>복기</t>
        </is>
      </c>
      <c r="B17" s="4" t="inlineStr">
        <is>
          <t>규칙 위반 여부 기록</t>
        </is>
      </c>
      <c r="C17" s="9" t="inlineStr"/>
      <c r="D17" s="8">
        <f>IF(C17="Y",20/15,0)</f>
        <v/>
      </c>
      <c r="E17" s="4" t="n">
        <v>5</v>
      </c>
      <c r="F17" s="4" t="inlineStr">
        <is>
          <t>매매 후</t>
        </is>
      </c>
      <c r="G17" s="4" t="inlineStr"/>
    </row>
    <row r="18">
      <c r="A18" s="4" t="inlineStr">
        <is>
          <t>복기</t>
        </is>
      </c>
      <c r="B18" s="4" t="inlineStr">
        <is>
          <t>내일 수정점 1개 작성</t>
        </is>
      </c>
      <c r="C18" s="9" t="inlineStr"/>
      <c r="D18" s="8">
        <f>IF(C18="Y",20/15,0)</f>
        <v/>
      </c>
      <c r="E18" s="4" t="n">
        <v>4</v>
      </c>
      <c r="F18" s="4" t="inlineStr">
        <is>
          <t>매매 후</t>
        </is>
      </c>
      <c r="G18" s="4" t="inlineStr"/>
    </row>
  </sheetData>
  <autoFilter ref="A3:G18"/>
  <mergeCells count="1">
    <mergeCell ref="A1:G1"/>
  </mergeCells>
  <dataValidations count="1">
    <dataValidation sqref="C4:C18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12" customWidth="1" min="4" max="4"/>
    <col width="16" customWidth="1" min="5" max="5"/>
    <col width="18" customWidth="1" min="6" max="6"/>
    <col width="22" customWidth="1" min="7" max="7"/>
    <col width="24" customWidth="1" min="8" max="8"/>
  </cols>
  <sheetData>
    <row r="1" ht="28" customHeight="1">
      <c r="A1" s="1" t="inlineStr">
        <is>
          <t>시장 체크</t>
        </is>
      </c>
      <c r="B1" s="2" t="n"/>
      <c r="C1" s="2" t="n"/>
      <c r="D1" s="2" t="n"/>
      <c r="E1" s="2" t="n"/>
      <c r="F1" s="2" t="n"/>
      <c r="G1" s="2" t="n"/>
      <c r="H1" s="2" t="n"/>
    </row>
    <row r="3" ht="24" customHeight="1">
      <c r="A3" s="6" t="inlineStr">
        <is>
          <t>날짜</t>
        </is>
      </c>
      <c r="B3" s="6" t="inlineStr">
        <is>
          <t>미국장</t>
        </is>
      </c>
      <c r="C3" s="6" t="inlineStr">
        <is>
          <t>나스닥</t>
        </is>
      </c>
      <c r="D3" s="6" t="inlineStr">
        <is>
          <t>반도체</t>
        </is>
      </c>
      <c r="E3" s="6" t="inlineStr">
        <is>
          <t>유가</t>
        </is>
      </c>
      <c r="F3" s="6" t="inlineStr">
        <is>
          <t>금리/환율</t>
        </is>
      </c>
      <c r="G3" s="6" t="inlineStr">
        <is>
          <t>주요 이슈</t>
        </is>
      </c>
      <c r="H3" s="6" t="inlineStr">
        <is>
          <t>내일 시장 한 줄 결론</t>
        </is>
      </c>
    </row>
    <row r="4">
      <c r="A4" s="4" t="inlineStr">
        <is>
          <t>2026-03-16</t>
        </is>
      </c>
      <c r="B4" s="4" t="inlineStr">
        <is>
          <t>강세</t>
        </is>
      </c>
      <c r="C4" s="4" t="inlineStr">
        <is>
          <t>강세</t>
        </is>
      </c>
      <c r="D4" s="4" t="inlineStr">
        <is>
          <t>강세</t>
        </is>
      </c>
      <c r="E4" s="4" t="inlineStr">
        <is>
          <t>보합</t>
        </is>
      </c>
      <c r="F4" s="4" t="inlineStr">
        <is>
          <t>안정</t>
        </is>
      </c>
      <c r="G4" s="4" t="inlineStr">
        <is>
          <t>미국 반도체 강세</t>
        </is>
      </c>
      <c r="H4" s="10" t="inlineStr">
        <is>
          <t>반도체 중심 반등 가능</t>
        </is>
      </c>
    </row>
    <row r="5">
      <c r="A5" s="4" t="inlineStr">
        <is>
          <t>2026-03-17</t>
        </is>
      </c>
      <c r="B5" s="4" t="inlineStr">
        <is>
          <t>약세</t>
        </is>
      </c>
      <c r="C5" s="4" t="inlineStr">
        <is>
          <t>약세</t>
        </is>
      </c>
      <c r="D5" s="4" t="inlineStr">
        <is>
          <t>보합</t>
        </is>
      </c>
      <c r="E5" s="4" t="inlineStr">
        <is>
          <t>급등</t>
        </is>
      </c>
      <c r="F5" s="4" t="inlineStr">
        <is>
          <t>불안</t>
        </is>
      </c>
      <c r="G5" s="4" t="inlineStr">
        <is>
          <t>유가 급등/중동 긴장</t>
        </is>
      </c>
      <c r="H5" s="10" t="inlineStr">
        <is>
          <t>방산·정유 우선, 성장주 보수</t>
        </is>
      </c>
    </row>
    <row r="6">
      <c r="A6" s="4" t="inlineStr">
        <is>
          <t>2026-03-18</t>
        </is>
      </c>
      <c r="B6" s="4" t="inlineStr">
        <is>
          <t>반등</t>
        </is>
      </c>
      <c r="C6" s="4" t="inlineStr">
        <is>
          <t>반등</t>
        </is>
      </c>
      <c r="D6" s="4" t="inlineStr">
        <is>
          <t>강세</t>
        </is>
      </c>
      <c r="E6" s="4" t="inlineStr">
        <is>
          <t>하락</t>
        </is>
      </c>
      <c r="F6" s="4" t="inlineStr">
        <is>
          <t>안정</t>
        </is>
      </c>
      <c r="G6" s="4" t="inlineStr">
        <is>
          <t>지수 급락 후 반등</t>
        </is>
      </c>
      <c r="H6" s="10" t="inlineStr">
        <is>
          <t>낙폭과대 대형주 단타</t>
        </is>
      </c>
    </row>
  </sheetData>
  <autoFilter ref="A3:H18"/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  <col width="12" customWidth="1" min="9" max="9"/>
  </cols>
  <sheetData>
    <row r="1" ht="28" customHeight="1">
      <c r="A1" s="1" t="inlineStr">
        <is>
          <t>섹터 선정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3" ht="24" customHeight="1">
      <c r="A3" s="6" t="inlineStr">
        <is>
          <t>날짜</t>
        </is>
      </c>
      <c r="B3" s="6" t="inlineStr">
        <is>
          <t>섹터</t>
        </is>
      </c>
      <c r="C3" s="6" t="inlineStr">
        <is>
          <t>선정 이유</t>
        </is>
      </c>
      <c r="D3" s="6" t="inlineStr">
        <is>
          <t>거시연동</t>
        </is>
      </c>
      <c r="E3" s="6" t="inlineStr">
        <is>
          <t>거래대금</t>
        </is>
      </c>
      <c r="F3" s="6" t="inlineStr">
        <is>
          <t>지속성</t>
        </is>
      </c>
      <c r="G3" s="6" t="inlineStr">
        <is>
          <t>대체거래 적합</t>
        </is>
      </c>
      <c r="H3" s="6" t="inlineStr">
        <is>
          <t>총점</t>
        </is>
      </c>
      <c r="I3" s="6" t="inlineStr">
        <is>
          <t>최종여부</t>
        </is>
      </c>
    </row>
    <row r="4">
      <c r="A4" s="4" t="inlineStr">
        <is>
          <t>2026-03-16</t>
        </is>
      </c>
      <c r="B4" s="4" t="inlineStr">
        <is>
          <t>반도체</t>
        </is>
      </c>
      <c r="C4" s="4" t="inlineStr">
        <is>
          <t>미국 반도체 강세</t>
        </is>
      </c>
      <c r="D4" s="4" t="n">
        <v>5</v>
      </c>
      <c r="E4" s="4" t="n">
        <v>5</v>
      </c>
      <c r="F4" s="4" t="n">
        <v>4</v>
      </c>
      <c r="G4" s="4" t="n">
        <v>4</v>
      </c>
      <c r="H4" s="4">
        <f>SUM(D4:G4)</f>
        <v/>
      </c>
      <c r="I4" s="4" t="inlineStr">
        <is>
          <t>Y</t>
        </is>
      </c>
    </row>
    <row r="5">
      <c r="A5" s="4" t="inlineStr">
        <is>
          <t>2026-03-16</t>
        </is>
      </c>
      <c r="B5" s="4" t="inlineStr">
        <is>
          <t>방산</t>
        </is>
      </c>
      <c r="C5" s="4" t="inlineStr">
        <is>
          <t>보조 후보</t>
        </is>
      </c>
      <c r="D5" s="4" t="n">
        <v>3</v>
      </c>
      <c r="E5" s="4" t="n">
        <v>3</v>
      </c>
      <c r="F5" s="4" t="n">
        <v>3</v>
      </c>
      <c r="G5" s="4" t="n">
        <v>2</v>
      </c>
      <c r="H5" s="4">
        <f>SUM(D5:G5)</f>
        <v/>
      </c>
      <c r="I5" s="4" t="inlineStr">
        <is>
          <t>N</t>
        </is>
      </c>
    </row>
    <row r="6">
      <c r="A6" s="4" t="inlineStr">
        <is>
          <t>2026-03-17</t>
        </is>
      </c>
      <c r="B6" s="4" t="inlineStr">
        <is>
          <t>방산</t>
        </is>
      </c>
      <c r="C6" s="4" t="inlineStr">
        <is>
          <t>유가 급등 수혜</t>
        </is>
      </c>
      <c r="D6" s="4" t="n">
        <v>5</v>
      </c>
      <c r="E6" s="4" t="n">
        <v>4</v>
      </c>
      <c r="F6" s="4" t="n">
        <v>4</v>
      </c>
      <c r="G6" s="4" t="n">
        <v>3</v>
      </c>
      <c r="H6" s="4">
        <f>SUM(D6:G6)</f>
        <v/>
      </c>
      <c r="I6" s="4" t="inlineStr">
        <is>
          <t>Y</t>
        </is>
      </c>
    </row>
    <row r="7">
      <c r="A7" s="4" t="inlineStr">
        <is>
          <t>2026-03-17</t>
        </is>
      </c>
      <c r="B7" s="4" t="inlineStr">
        <is>
          <t>정유</t>
        </is>
      </c>
      <c r="C7" s="4" t="inlineStr">
        <is>
          <t>유가 연동</t>
        </is>
      </c>
      <c r="D7" s="4" t="n">
        <v>4</v>
      </c>
      <c r="E7" s="4" t="n">
        <v>4</v>
      </c>
      <c r="F7" s="4" t="n">
        <v>3</v>
      </c>
      <c r="G7" s="4" t="n">
        <v>3</v>
      </c>
      <c r="H7" s="4">
        <f>SUM(D7:G7)</f>
        <v/>
      </c>
      <c r="I7" s="4" t="inlineStr">
        <is>
          <t>Y</t>
        </is>
      </c>
    </row>
    <row r="8">
      <c r="A8" s="4" t="inlineStr">
        <is>
          <t>2026-03-18</t>
        </is>
      </c>
      <c r="B8" s="4" t="inlineStr">
        <is>
          <t>반도체</t>
        </is>
      </c>
      <c r="C8" s="4" t="inlineStr">
        <is>
          <t>낙폭과대 반등</t>
        </is>
      </c>
      <c r="D8" s="4" t="n">
        <v>4</v>
      </c>
      <c r="E8" s="4" t="n">
        <v>5</v>
      </c>
      <c r="F8" s="4" t="n">
        <v>3</v>
      </c>
      <c r="G8" s="4" t="n">
        <v>4</v>
      </c>
      <c r="H8" s="4">
        <f>SUM(D8:G8)</f>
        <v/>
      </c>
      <c r="I8" s="4" t="inlineStr">
        <is>
          <t>Y</t>
        </is>
      </c>
    </row>
    <row r="9">
      <c r="A9" s="17" t="n"/>
      <c r="B9" s="17" t="n"/>
      <c r="C9" s="17" t="n"/>
      <c r="D9" s="17" t="n"/>
      <c r="E9" s="17" t="n"/>
      <c r="F9" s="17" t="n"/>
      <c r="G9" s="17" t="n"/>
      <c r="H9" s="17" t="n"/>
      <c r="I9" s="17" t="n"/>
    </row>
    <row r="10">
      <c r="A10" s="17" t="n"/>
      <c r="B10" s="17" t="n"/>
      <c r="C10" s="17" t="n"/>
      <c r="D10" s="17" t="n"/>
      <c r="E10" s="17" t="n"/>
      <c r="F10" s="17" t="n"/>
      <c r="G10" s="17" t="n"/>
      <c r="H10" s="17" t="n"/>
      <c r="I10" s="17" t="n"/>
    </row>
    <row r="11">
      <c r="A11" s="17" t="n"/>
      <c r="B11" s="17" t="n"/>
      <c r="C11" s="17" t="n"/>
      <c r="D11" s="17" t="n"/>
      <c r="E11" s="17" t="n"/>
      <c r="F11" s="17" t="n"/>
      <c r="G11" s="17" t="n"/>
      <c r="H11" s="17" t="n"/>
      <c r="I11" s="17" t="n"/>
    </row>
    <row r="12">
      <c r="A12" s="17" t="n"/>
      <c r="B12" s="17" t="n"/>
      <c r="C12" s="17" t="n"/>
      <c r="D12" s="17" t="n"/>
      <c r="E12" s="17" t="n"/>
      <c r="F12" s="17" t="n"/>
      <c r="G12" s="17" t="n"/>
      <c r="H12" s="17" t="n"/>
      <c r="I12" s="17" t="n"/>
    </row>
    <row r="13">
      <c r="A13" s="17" t="n"/>
      <c r="B13" s="17" t="n"/>
      <c r="C13" s="17" t="n"/>
      <c r="D13" s="17" t="n"/>
      <c r="E13" s="17" t="n"/>
      <c r="F13" s="17" t="n"/>
      <c r="G13" s="17" t="n"/>
      <c r="H13" s="17" t="n"/>
      <c r="I13" s="17" t="n"/>
    </row>
    <row r="14">
      <c r="A14" s="17" t="n"/>
      <c r="B14" s="17" t="n"/>
      <c r="C14" s="17" t="n"/>
      <c r="D14" s="17" t="n"/>
      <c r="E14" s="17" t="n"/>
      <c r="F14" s="17" t="n"/>
      <c r="G14" s="17" t="n"/>
      <c r="H14" s="17" t="n"/>
      <c r="I14" s="17" t="n"/>
    </row>
    <row r="15">
      <c r="A15" s="17" t="n"/>
      <c r="B15" s="17" t="n"/>
      <c r="C15" s="17" t="n"/>
      <c r="D15" s="17" t="n"/>
      <c r="E15" s="17" t="n"/>
      <c r="F15" s="17" t="n"/>
      <c r="G15" s="17" t="n"/>
      <c r="H15" s="17" t="n"/>
      <c r="I15" s="17" t="n"/>
    </row>
    <row r="16">
      <c r="A16" s="17" t="n"/>
      <c r="B16" s="17" t="n"/>
      <c r="C16" s="17" t="n"/>
      <c r="D16" s="17" t="n"/>
      <c r="E16" s="17" t="n"/>
      <c r="F16" s="17" t="n"/>
      <c r="G16" s="17" t="n"/>
      <c r="H16" s="17" t="n"/>
      <c r="I16" s="17" t="n"/>
    </row>
    <row r="17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</row>
    <row r="18">
      <c r="A18" s="17" t="n"/>
      <c r="B18" s="17" t="n"/>
      <c r="C18" s="17" t="n"/>
      <c r="D18" s="17" t="n"/>
      <c r="E18" s="17" t="n"/>
      <c r="F18" s="17" t="n"/>
      <c r="G18" s="17" t="n"/>
      <c r="H18" s="17" t="n"/>
      <c r="I18" s="17" t="n"/>
    </row>
    <row r="19">
      <c r="A19" s="17" t="n"/>
      <c r="B19" s="17" t="n"/>
      <c r="C19" s="17" t="n"/>
      <c r="D19" s="17" t="n"/>
      <c r="E19" s="17" t="n"/>
      <c r="F19" s="17" t="n"/>
      <c r="G19" s="17" t="n"/>
      <c r="H19" s="17" t="n"/>
      <c r="I19" s="17" t="n"/>
    </row>
  </sheetData>
  <autoFilter ref="A3:I19"/>
  <mergeCells count="1">
    <mergeCell ref="A1:I1"/>
  </mergeCells>
  <dataValidations count="1">
    <dataValidation sqref="I4:I19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 ht="28" customHeight="1">
      <c r="A1" s="1" t="inlineStr">
        <is>
          <t>종목 압축 점수화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3" ht="24" customHeight="1">
      <c r="A3" s="6" t="inlineStr">
        <is>
          <t>날짜</t>
        </is>
      </c>
      <c r="B3" s="6" t="inlineStr">
        <is>
          <t>섹터</t>
        </is>
      </c>
      <c r="C3" s="6" t="inlineStr">
        <is>
          <t>종목</t>
        </is>
      </c>
      <c r="D3" s="6" t="inlineStr">
        <is>
          <t>재료</t>
        </is>
      </c>
      <c r="E3" s="6" t="inlineStr">
        <is>
          <t>거래대금</t>
        </is>
      </c>
      <c r="F3" s="6" t="inlineStr">
        <is>
          <t>외국인</t>
        </is>
      </c>
      <c r="G3" s="6" t="inlineStr">
        <is>
          <t>기관</t>
        </is>
      </c>
      <c r="H3" s="6" t="inlineStr">
        <is>
          <t>프로그램</t>
        </is>
      </c>
      <c r="I3" s="6" t="inlineStr">
        <is>
          <t>차트자리</t>
        </is>
      </c>
      <c r="J3" s="6" t="inlineStr">
        <is>
          <t>초입성</t>
        </is>
      </c>
      <c r="K3" s="6" t="inlineStr">
        <is>
          <t>기대감</t>
        </is>
      </c>
      <c r="L3" s="6" t="inlineStr">
        <is>
          <t>총점</t>
        </is>
      </c>
      <c r="M3" s="6" t="inlineStr">
        <is>
          <t>순위</t>
        </is>
      </c>
      <c r="N3" s="6" t="inlineStr">
        <is>
          <t>최종후보</t>
        </is>
      </c>
    </row>
    <row r="4">
      <c r="A4" s="4" t="inlineStr">
        <is>
          <t>2026-03-16</t>
        </is>
      </c>
      <c r="B4" s="4" t="inlineStr">
        <is>
          <t>반도체</t>
        </is>
      </c>
      <c r="C4" s="4" t="inlineStr">
        <is>
          <t>삼성전자</t>
        </is>
      </c>
      <c r="D4" s="4" t="inlineStr">
        <is>
          <t>미국 반도체 강세</t>
        </is>
      </c>
      <c r="E4" s="4" t="n">
        <v>2</v>
      </c>
      <c r="F4" s="4" t="n">
        <v>2</v>
      </c>
      <c r="G4" s="4" t="n">
        <v>1</v>
      </c>
      <c r="H4" s="4" t="n">
        <v>1</v>
      </c>
      <c r="I4" s="4" t="n">
        <v>2</v>
      </c>
      <c r="J4" s="4" t="n">
        <v>1</v>
      </c>
      <c r="K4" s="4" t="n">
        <v>2</v>
      </c>
      <c r="L4" s="4">
        <f>SUM(E4:K4)</f>
        <v/>
      </c>
      <c r="M4" s="4">
        <f>RANK(L4,$L$4:$L$8,0)</f>
        <v/>
      </c>
      <c r="N4" s="4" t="inlineStr">
        <is>
          <t>Y</t>
        </is>
      </c>
    </row>
    <row r="5">
      <c r="A5" s="4" t="inlineStr">
        <is>
          <t>2026-03-16</t>
        </is>
      </c>
      <c r="B5" s="4" t="inlineStr">
        <is>
          <t>반도체</t>
        </is>
      </c>
      <c r="C5" s="4" t="inlineStr">
        <is>
          <t>SK하이닉스</t>
        </is>
      </c>
      <c r="D5" s="4" t="inlineStr">
        <is>
          <t>반도체 동반 강세</t>
        </is>
      </c>
      <c r="E5" s="4" t="n">
        <v>2</v>
      </c>
      <c r="F5" s="4" t="n">
        <v>2</v>
      </c>
      <c r="G5" s="4" t="n">
        <v>2</v>
      </c>
      <c r="H5" s="4" t="n">
        <v>1</v>
      </c>
      <c r="I5" s="4" t="n">
        <v>2</v>
      </c>
      <c r="J5" s="4" t="n">
        <v>1</v>
      </c>
      <c r="K5" s="4" t="n">
        <v>2</v>
      </c>
      <c r="L5" s="4">
        <f>SUM(E5:K5)</f>
        <v/>
      </c>
      <c r="M5" s="4">
        <f>RANK(L5,$L$4:$L$8,0)</f>
        <v/>
      </c>
      <c r="N5" s="4" t="inlineStr">
        <is>
          <t>Y</t>
        </is>
      </c>
    </row>
    <row r="6">
      <c r="A6" s="4" t="inlineStr">
        <is>
          <t>2026-03-16</t>
        </is>
      </c>
      <c r="B6" s="4" t="inlineStr">
        <is>
          <t>방산</t>
        </is>
      </c>
      <c r="C6" s="4" t="inlineStr">
        <is>
          <t>LIG넥스원</t>
        </is>
      </c>
      <c r="D6" s="4" t="inlineStr">
        <is>
          <t>보조 후보</t>
        </is>
      </c>
      <c r="E6" s="4" t="n">
        <v>1</v>
      </c>
      <c r="F6" s="4" t="n">
        <v>1</v>
      </c>
      <c r="G6" s="4" t="n">
        <v>1</v>
      </c>
      <c r="H6" s="4" t="n">
        <v>1</v>
      </c>
      <c r="I6" s="4" t="n">
        <v>1</v>
      </c>
      <c r="J6" s="4" t="n">
        <v>1</v>
      </c>
      <c r="K6" s="4" t="n">
        <v>1</v>
      </c>
      <c r="L6" s="4">
        <f>SUM(E6:K6)</f>
        <v/>
      </c>
      <c r="M6" s="4">
        <f>RANK(L6,$L$4:$L$8,0)</f>
        <v/>
      </c>
      <c r="N6" s="4" t="inlineStr">
        <is>
          <t>N</t>
        </is>
      </c>
    </row>
    <row r="7">
      <c r="A7" s="4" t="inlineStr">
        <is>
          <t>2026-03-17</t>
        </is>
      </c>
      <c r="B7" s="4" t="inlineStr">
        <is>
          <t>방산</t>
        </is>
      </c>
      <c r="C7" s="4" t="inlineStr">
        <is>
          <t>한화에어로스페이스</t>
        </is>
      </c>
      <c r="D7" s="4" t="inlineStr">
        <is>
          <t>유가/전쟁 이슈</t>
        </is>
      </c>
      <c r="E7" s="4" t="n">
        <v>2</v>
      </c>
      <c r="F7" s="4" t="n">
        <v>2</v>
      </c>
      <c r="G7" s="4" t="n">
        <v>2</v>
      </c>
      <c r="H7" s="4" t="n">
        <v>2</v>
      </c>
      <c r="I7" s="4" t="n">
        <v>2</v>
      </c>
      <c r="J7" s="4" t="n">
        <v>1</v>
      </c>
      <c r="K7" s="4" t="n">
        <v>2</v>
      </c>
      <c r="L7" s="4">
        <f>SUM(E7:K7)</f>
        <v/>
      </c>
      <c r="M7" s="4">
        <f>RANK(L7,$L$4:$L$8,0)</f>
        <v/>
      </c>
      <c r="N7" s="4" t="inlineStr">
        <is>
          <t>Y</t>
        </is>
      </c>
    </row>
    <row r="8">
      <c r="A8" s="4" t="inlineStr">
        <is>
          <t>2026-03-17</t>
        </is>
      </c>
      <c r="B8" s="4" t="inlineStr">
        <is>
          <t>정유</t>
        </is>
      </c>
      <c r="C8" s="4" t="inlineStr">
        <is>
          <t>흥구석유</t>
        </is>
      </c>
      <c r="D8" s="4" t="inlineStr">
        <is>
          <t>유가 급등</t>
        </is>
      </c>
      <c r="E8" s="4" t="n">
        <v>2</v>
      </c>
      <c r="F8" s="4" t="n">
        <v>1</v>
      </c>
      <c r="G8" s="4" t="n">
        <v>1</v>
      </c>
      <c r="H8" s="4" t="n">
        <v>1</v>
      </c>
      <c r="I8" s="4" t="n">
        <v>2</v>
      </c>
      <c r="J8" s="4" t="n">
        <v>2</v>
      </c>
      <c r="K8" s="4" t="n">
        <v>2</v>
      </c>
      <c r="L8" s="4">
        <f>SUM(E8:K8)</f>
        <v/>
      </c>
      <c r="M8" s="4">
        <f>RANK(L8,$L$4:$L$8,0)</f>
        <v/>
      </c>
      <c r="N8" s="4" t="inlineStr">
        <is>
          <t>Y</t>
        </is>
      </c>
    </row>
    <row r="9">
      <c r="A9" s="17" t="n"/>
      <c r="B9" s="17" t="n"/>
      <c r="C9" s="17" t="n"/>
      <c r="D9" s="17" t="n"/>
      <c r="E9" s="17" t="n"/>
      <c r="F9" s="17" t="n"/>
      <c r="G9" s="17" t="n"/>
      <c r="H9" s="17" t="n"/>
      <c r="I9" s="17" t="n"/>
      <c r="J9" s="17" t="n"/>
      <c r="K9" s="17" t="n"/>
      <c r="L9" s="17" t="n"/>
      <c r="M9" s="17" t="n"/>
      <c r="N9" s="17" t="n"/>
    </row>
    <row r="10">
      <c r="A10" s="17" t="n"/>
      <c r="B10" s="17" t="n"/>
      <c r="C10" s="17" t="n"/>
      <c r="D10" s="17" t="n"/>
      <c r="E10" s="17" t="n"/>
      <c r="F10" s="17" t="n"/>
      <c r="G10" s="17" t="n"/>
      <c r="H10" s="17" t="n"/>
      <c r="I10" s="17" t="n"/>
      <c r="J10" s="17" t="n"/>
      <c r="K10" s="17" t="n"/>
      <c r="L10" s="17" t="n"/>
      <c r="M10" s="17" t="n"/>
      <c r="N10" s="17" t="n"/>
    </row>
    <row r="11">
      <c r="A11" s="17" t="n"/>
      <c r="B11" s="17" t="n"/>
      <c r="C11" s="17" t="n"/>
      <c r="D11" s="17" t="n"/>
      <c r="E11" s="17" t="n"/>
      <c r="F11" s="17" t="n"/>
      <c r="G11" s="17" t="n"/>
      <c r="H11" s="17" t="n"/>
      <c r="I11" s="17" t="n"/>
      <c r="J11" s="17" t="n"/>
      <c r="K11" s="17" t="n"/>
      <c r="L11" s="17" t="n"/>
      <c r="M11" s="17" t="n"/>
      <c r="N11" s="17" t="n"/>
    </row>
    <row r="12">
      <c r="A12" s="17" t="n"/>
      <c r="B12" s="17" t="n"/>
      <c r="C12" s="17" t="n"/>
      <c r="D12" s="17" t="n"/>
      <c r="E12" s="17" t="n"/>
      <c r="F12" s="17" t="n"/>
      <c r="G12" s="17" t="n"/>
      <c r="H12" s="17" t="n"/>
      <c r="I12" s="17" t="n"/>
      <c r="J12" s="17" t="n"/>
      <c r="K12" s="17" t="n"/>
      <c r="L12" s="17" t="n"/>
      <c r="M12" s="17" t="n"/>
      <c r="N12" s="17" t="n"/>
    </row>
    <row r="13">
      <c r="A13" s="17" t="n"/>
      <c r="B13" s="17" t="n"/>
      <c r="C13" s="17" t="n"/>
      <c r="D13" s="17" t="n"/>
      <c r="E13" s="17" t="n"/>
      <c r="F13" s="17" t="n"/>
      <c r="G13" s="17" t="n"/>
      <c r="H13" s="17" t="n"/>
      <c r="I13" s="17" t="n"/>
      <c r="J13" s="17" t="n"/>
      <c r="K13" s="17" t="n"/>
      <c r="L13" s="17" t="n"/>
      <c r="M13" s="17" t="n"/>
      <c r="N13" s="17" t="n"/>
    </row>
    <row r="14">
      <c r="A14" s="17" t="n"/>
      <c r="B14" s="17" t="n"/>
      <c r="C14" s="17" t="n"/>
      <c r="D14" s="17" t="n"/>
      <c r="E14" s="17" t="n"/>
      <c r="F14" s="17" t="n"/>
      <c r="G14" s="17" t="n"/>
      <c r="H14" s="17" t="n"/>
      <c r="I14" s="17" t="n"/>
      <c r="J14" s="17" t="n"/>
      <c r="K14" s="17" t="n"/>
      <c r="L14" s="17" t="n"/>
      <c r="M14" s="17" t="n"/>
      <c r="N14" s="17" t="n"/>
    </row>
    <row r="15">
      <c r="A15" s="17" t="n"/>
      <c r="B15" s="17" t="n"/>
      <c r="C15" s="17" t="n"/>
      <c r="D15" s="17" t="n"/>
      <c r="E15" s="17" t="n"/>
      <c r="F15" s="17" t="n"/>
      <c r="G15" s="17" t="n"/>
      <c r="H15" s="17" t="n"/>
      <c r="I15" s="17" t="n"/>
      <c r="J15" s="17" t="n"/>
      <c r="K15" s="17" t="n"/>
      <c r="L15" s="17" t="n"/>
      <c r="M15" s="17" t="n"/>
      <c r="N15" s="17" t="n"/>
    </row>
    <row r="16">
      <c r="A16" s="17" t="n"/>
      <c r="B16" s="17" t="n"/>
      <c r="C16" s="17" t="n"/>
      <c r="D16" s="17" t="n"/>
      <c r="E16" s="17" t="n"/>
      <c r="F16" s="17" t="n"/>
      <c r="G16" s="17" t="n"/>
      <c r="H16" s="17" t="n"/>
      <c r="I16" s="17" t="n"/>
      <c r="J16" s="17" t="n"/>
      <c r="K16" s="17" t="n"/>
      <c r="L16" s="17" t="n"/>
      <c r="M16" s="17" t="n"/>
      <c r="N16" s="17" t="n"/>
    </row>
    <row r="17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</row>
    <row r="18">
      <c r="A18" s="17" t="n"/>
      <c r="B18" s="17" t="n"/>
      <c r="C18" s="17" t="n"/>
      <c r="D18" s="17" t="n"/>
      <c r="E18" s="17" t="n"/>
      <c r="F18" s="17" t="n"/>
      <c r="G18" s="17" t="n"/>
      <c r="H18" s="17" t="n"/>
      <c r="I18" s="17" t="n"/>
      <c r="J18" s="17" t="n"/>
      <c r="K18" s="17" t="n"/>
      <c r="L18" s="17" t="n"/>
      <c r="M18" s="17" t="n"/>
      <c r="N18" s="17" t="n"/>
    </row>
    <row r="19">
      <c r="A19" s="17" t="n"/>
      <c r="B19" s="17" t="n"/>
      <c r="C19" s="17" t="n"/>
      <c r="D19" s="17" t="n"/>
      <c r="E19" s="17" t="n"/>
      <c r="F19" s="17" t="n"/>
      <c r="G19" s="17" t="n"/>
      <c r="H19" s="17" t="n"/>
      <c r="I19" s="17" t="n"/>
      <c r="J19" s="17" t="n"/>
      <c r="K19" s="17" t="n"/>
      <c r="L19" s="17" t="n"/>
      <c r="M19" s="17" t="n"/>
      <c r="N19" s="17" t="n"/>
    </row>
    <row r="20">
      <c r="A20" s="17" t="n"/>
      <c r="B20" s="17" t="n"/>
      <c r="C20" s="17" t="n"/>
      <c r="D20" s="17" t="n"/>
      <c r="E20" s="17" t="n"/>
      <c r="F20" s="17" t="n"/>
      <c r="G20" s="17" t="n"/>
      <c r="H20" s="17" t="n"/>
      <c r="I20" s="17" t="n"/>
      <c r="J20" s="17" t="n"/>
      <c r="K20" s="17" t="n"/>
      <c r="L20" s="17" t="n"/>
      <c r="M20" s="17" t="n"/>
      <c r="N20" s="17" t="n"/>
    </row>
    <row r="21">
      <c r="A21" s="17" t="n"/>
      <c r="B21" s="17" t="n"/>
      <c r="C21" s="17" t="n"/>
      <c r="D21" s="17" t="n"/>
      <c r="E21" s="17" t="n"/>
      <c r="F21" s="17" t="n"/>
      <c r="G21" s="17" t="n"/>
      <c r="H21" s="17" t="n"/>
      <c r="I21" s="17" t="n"/>
      <c r="J21" s="17" t="n"/>
      <c r="K21" s="17" t="n"/>
      <c r="L21" s="17" t="n"/>
      <c r="M21" s="17" t="n"/>
      <c r="N21" s="17" t="n"/>
    </row>
    <row r="22">
      <c r="A22" s="17" t="n"/>
      <c r="B22" s="17" t="n"/>
      <c r="C22" s="17" t="n"/>
      <c r="D22" s="17" t="n"/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</row>
    <row r="23">
      <c r="A23" s="17" t="n"/>
      <c r="B23" s="17" t="n"/>
      <c r="C23" s="17" t="n"/>
      <c r="D23" s="17" t="n"/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</row>
  </sheetData>
  <autoFilter ref="A3:N23"/>
  <mergeCells count="1">
    <mergeCell ref="A1:N1"/>
  </mergeCells>
  <dataValidations count="1">
    <dataValidation sqref="N4:N23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6" customWidth="1" min="9" max="9"/>
    <col width="20" customWidth="1" min="10" max="10"/>
  </cols>
  <sheetData>
    <row r="1" ht="28" customHeight="1">
      <c r="A1" s="1" t="inlineStr">
        <is>
          <t>매매 계획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3" ht="24" customHeight="1">
      <c r="A3" s="6" t="inlineStr">
        <is>
          <t>날짜</t>
        </is>
      </c>
      <c r="B3" s="6" t="inlineStr">
        <is>
          <t>종목</t>
        </is>
      </c>
      <c r="C3" s="6" t="inlineStr">
        <is>
          <t>진입 이유 1줄</t>
        </is>
      </c>
      <c r="D3" s="6" t="inlineStr">
        <is>
          <t>진입가</t>
        </is>
      </c>
      <c r="E3" s="6" t="inlineStr">
        <is>
          <t>손절가</t>
        </is>
      </c>
      <c r="F3" s="6" t="inlineStr">
        <is>
          <t>1차 목표가</t>
        </is>
      </c>
      <c r="G3" s="6" t="inlineStr">
        <is>
          <t>2차 목표가</t>
        </is>
      </c>
      <c r="H3" s="6" t="inlineStr">
        <is>
          <t>투입금액</t>
        </is>
      </c>
      <c r="I3" s="6" t="inlineStr">
        <is>
          <t>분할 계획</t>
        </is>
      </c>
      <c r="J3" s="6" t="inlineStr">
        <is>
          <t>아침 체크포인트</t>
        </is>
      </c>
    </row>
    <row r="4">
      <c r="A4" s="4" t="inlineStr">
        <is>
          <t>2026-03-16</t>
        </is>
      </c>
      <c r="B4" s="4" t="inlineStr">
        <is>
          <t>삼성전자</t>
        </is>
      </c>
      <c r="C4" s="4" t="inlineStr">
        <is>
          <t>반도체 강세 연동</t>
        </is>
      </c>
      <c r="D4" s="18" t="n">
        <v>71000</v>
      </c>
      <c r="E4" s="18" t="n">
        <v>70300</v>
      </c>
      <c r="F4" s="18" t="n">
        <v>72000</v>
      </c>
      <c r="G4" s="18" t="n">
        <v>72600</v>
      </c>
      <c r="H4" s="18" t="n">
        <v>1500000</v>
      </c>
      <c r="I4" s="4" t="inlineStr">
        <is>
          <t>50%-50%</t>
        </is>
      </c>
      <c r="J4" s="4" t="inlineStr">
        <is>
          <t>시초 강세면 1차 매도</t>
        </is>
      </c>
    </row>
    <row r="5">
      <c r="A5" s="4" t="inlineStr">
        <is>
          <t>2026-03-17</t>
        </is>
      </c>
      <c r="B5" s="4" t="inlineStr">
        <is>
          <t>한화에어로</t>
        </is>
      </c>
      <c r="C5" s="4" t="inlineStr">
        <is>
          <t>유가 급등 + 방산수급</t>
        </is>
      </c>
      <c r="D5" s="18" t="n">
        <v>390000</v>
      </c>
      <c r="E5" s="18" t="n">
        <v>384000</v>
      </c>
      <c r="F5" s="18" t="n">
        <v>397000</v>
      </c>
      <c r="G5" s="18" t="n">
        <v>402000</v>
      </c>
      <c r="H5" s="18" t="n">
        <v>1500000</v>
      </c>
      <c r="I5" s="4" t="inlineStr">
        <is>
          <t>30%-30%-40%</t>
        </is>
      </c>
      <c r="J5" s="4" t="inlineStr">
        <is>
          <t>끝물 여부 확인</t>
        </is>
      </c>
    </row>
    <row r="6">
      <c r="A6" s="4" t="inlineStr">
        <is>
          <t>2026-03-18</t>
        </is>
      </c>
      <c r="B6" s="4" t="inlineStr">
        <is>
          <t>SK하이닉스</t>
        </is>
      </c>
      <c r="C6" s="4" t="inlineStr">
        <is>
          <t>낙폭과대 반등</t>
        </is>
      </c>
      <c r="D6" s="18" t="n">
        <v>198000</v>
      </c>
      <c r="E6" s="18" t="n">
        <v>195000</v>
      </c>
      <c r="F6" s="18" t="n">
        <v>201500</v>
      </c>
      <c r="G6" s="18" t="n">
        <v>204000</v>
      </c>
      <c r="H6" s="18" t="n">
        <v>1500000</v>
      </c>
      <c r="I6" s="4" t="inlineStr">
        <is>
          <t>50%-50%</t>
        </is>
      </c>
      <c r="J6" s="4" t="inlineStr">
        <is>
          <t>대형주 반등 유지 확인</t>
        </is>
      </c>
    </row>
    <row r="7">
      <c r="A7" s="17" t="n"/>
      <c r="B7" s="17" t="n"/>
      <c r="C7" s="17" t="n"/>
      <c r="D7" s="19" t="n"/>
      <c r="E7" s="19" t="n"/>
      <c r="F7" s="19" t="n"/>
      <c r="G7" s="19" t="n"/>
      <c r="H7" s="19" t="n"/>
      <c r="I7" s="17" t="n"/>
      <c r="J7" s="17" t="n"/>
    </row>
    <row r="8">
      <c r="A8" s="17" t="n"/>
      <c r="B8" s="17" t="n"/>
      <c r="C8" s="17" t="n"/>
      <c r="D8" s="19" t="n"/>
      <c r="E8" s="19" t="n"/>
      <c r="F8" s="19" t="n"/>
      <c r="G8" s="19" t="n"/>
      <c r="H8" s="19" t="n"/>
      <c r="I8" s="17" t="n"/>
      <c r="J8" s="17" t="n"/>
    </row>
    <row r="9">
      <c r="A9" s="17" t="n"/>
      <c r="B9" s="17" t="n"/>
      <c r="C9" s="17" t="n"/>
      <c r="D9" s="19" t="n"/>
      <c r="E9" s="19" t="n"/>
      <c r="F9" s="19" t="n"/>
      <c r="G9" s="19" t="n"/>
      <c r="H9" s="19" t="n"/>
      <c r="I9" s="17" t="n"/>
      <c r="J9" s="17" t="n"/>
    </row>
    <row r="10">
      <c r="A10" s="17" t="n"/>
      <c r="B10" s="17" t="n"/>
      <c r="C10" s="17" t="n"/>
      <c r="D10" s="19" t="n"/>
      <c r="E10" s="19" t="n"/>
      <c r="F10" s="19" t="n"/>
      <c r="G10" s="19" t="n"/>
      <c r="H10" s="19" t="n"/>
      <c r="I10" s="17" t="n"/>
      <c r="J10" s="17" t="n"/>
    </row>
    <row r="11">
      <c r="A11" s="17" t="n"/>
      <c r="B11" s="17" t="n"/>
      <c r="C11" s="17" t="n"/>
      <c r="D11" s="19" t="n"/>
      <c r="E11" s="19" t="n"/>
      <c r="F11" s="19" t="n"/>
      <c r="G11" s="19" t="n"/>
      <c r="H11" s="19" t="n"/>
      <c r="I11" s="17" t="n"/>
      <c r="J11" s="17" t="n"/>
    </row>
    <row r="12">
      <c r="A12" s="17" t="n"/>
      <c r="B12" s="17" t="n"/>
      <c r="C12" s="17" t="n"/>
      <c r="D12" s="19" t="n"/>
      <c r="E12" s="19" t="n"/>
      <c r="F12" s="19" t="n"/>
      <c r="G12" s="19" t="n"/>
      <c r="H12" s="19" t="n"/>
      <c r="I12" s="17" t="n"/>
      <c r="J12" s="17" t="n"/>
    </row>
    <row r="13">
      <c r="A13" s="17" t="n"/>
      <c r="B13" s="17" t="n"/>
      <c r="C13" s="17" t="n"/>
      <c r="D13" s="19" t="n"/>
      <c r="E13" s="19" t="n"/>
      <c r="F13" s="19" t="n"/>
      <c r="G13" s="19" t="n"/>
      <c r="H13" s="19" t="n"/>
      <c r="I13" s="17" t="n"/>
      <c r="J13" s="17" t="n"/>
    </row>
    <row r="14">
      <c r="A14" s="17" t="n"/>
      <c r="B14" s="17" t="n"/>
      <c r="C14" s="17" t="n"/>
      <c r="D14" s="19" t="n"/>
      <c r="E14" s="19" t="n"/>
      <c r="F14" s="19" t="n"/>
      <c r="G14" s="19" t="n"/>
      <c r="H14" s="19" t="n"/>
      <c r="I14" s="17" t="n"/>
      <c r="J14" s="17" t="n"/>
    </row>
    <row r="15">
      <c r="A15" s="17" t="n"/>
      <c r="B15" s="17" t="n"/>
      <c r="C15" s="17" t="n"/>
      <c r="D15" s="19" t="n"/>
      <c r="E15" s="19" t="n"/>
      <c r="F15" s="19" t="n"/>
      <c r="G15" s="19" t="n"/>
      <c r="H15" s="19" t="n"/>
      <c r="I15" s="17" t="n"/>
      <c r="J15" s="17" t="n"/>
    </row>
    <row r="16">
      <c r="A16" s="17" t="n"/>
      <c r="B16" s="17" t="n"/>
      <c r="C16" s="17" t="n"/>
      <c r="D16" s="19" t="n"/>
      <c r="E16" s="19" t="n"/>
      <c r="F16" s="19" t="n"/>
      <c r="G16" s="19" t="n"/>
      <c r="H16" s="19" t="n"/>
      <c r="I16" s="17" t="n"/>
      <c r="J16" s="17" t="n"/>
    </row>
    <row r="17">
      <c r="A17" s="17" t="n"/>
      <c r="B17" s="17" t="n"/>
      <c r="C17" s="17" t="n"/>
      <c r="D17" s="19" t="n"/>
      <c r="E17" s="19" t="n"/>
      <c r="F17" s="19" t="n"/>
      <c r="G17" s="19" t="n"/>
      <c r="H17" s="19" t="n"/>
      <c r="I17" s="17" t="n"/>
      <c r="J17" s="17" t="n"/>
    </row>
    <row r="18">
      <c r="A18" s="17" t="n"/>
      <c r="B18" s="17" t="n"/>
      <c r="C18" s="17" t="n"/>
      <c r="D18" s="19" t="n"/>
      <c r="E18" s="19" t="n"/>
      <c r="F18" s="19" t="n"/>
      <c r="G18" s="19" t="n"/>
      <c r="H18" s="19" t="n"/>
      <c r="I18" s="17" t="n"/>
      <c r="J18" s="17" t="n"/>
    </row>
    <row r="19">
      <c r="A19" s="17" t="n"/>
      <c r="B19" s="17" t="n"/>
      <c r="C19" s="17" t="n"/>
      <c r="D19" s="19" t="n"/>
      <c r="E19" s="19" t="n"/>
      <c r="F19" s="19" t="n"/>
      <c r="G19" s="19" t="n"/>
      <c r="H19" s="19" t="n"/>
      <c r="I19" s="17" t="n"/>
      <c r="J19" s="17" t="n"/>
    </row>
  </sheetData>
  <autoFilter ref="A3:J19"/>
  <mergeCells count="1">
    <mergeCell ref="A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8" customWidth="1" min="9" max="9"/>
    <col width="18" customWidth="1" min="10" max="10"/>
    <col width="18" customWidth="1" min="11" max="11"/>
  </cols>
  <sheetData>
    <row r="1" ht="28" customHeight="1">
      <c r="A1" s="1" t="inlineStr">
        <is>
          <t>매매 일지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3" ht="24" customHeight="1">
      <c r="A3" s="6" t="inlineStr">
        <is>
          <t>날짜</t>
        </is>
      </c>
      <c r="B3" s="6" t="inlineStr">
        <is>
          <t>종목</t>
        </is>
      </c>
      <c r="C3" s="6" t="inlineStr">
        <is>
          <t>실제 진입가</t>
        </is>
      </c>
      <c r="D3" s="6" t="inlineStr">
        <is>
          <t>실제 청산가</t>
        </is>
      </c>
      <c r="E3" s="6" t="inlineStr">
        <is>
          <t>수익률(%)</t>
        </is>
      </c>
      <c r="F3" s="6" t="inlineStr">
        <is>
          <t>규칙 준수</t>
        </is>
      </c>
      <c r="G3" s="6" t="inlineStr">
        <is>
          <t>감정</t>
        </is>
      </c>
      <c r="H3" s="6" t="inlineStr">
        <is>
          <t>잘한 점</t>
        </is>
      </c>
      <c r="I3" s="6" t="inlineStr">
        <is>
          <t>놓친 점</t>
        </is>
      </c>
      <c r="J3" s="6" t="inlineStr">
        <is>
          <t>수정할 점 1개</t>
        </is>
      </c>
      <c r="K3" s="6" t="inlineStr">
        <is>
          <t>한 줄 총평</t>
        </is>
      </c>
    </row>
    <row r="4">
      <c r="A4" s="4" t="inlineStr">
        <is>
          <t>2026-03-17</t>
        </is>
      </c>
      <c r="B4" s="4" t="inlineStr">
        <is>
          <t>삼성전자</t>
        </is>
      </c>
      <c r="C4" s="18" t="n">
        <v>71050</v>
      </c>
      <c r="D4" s="18" t="n">
        <v>72050</v>
      </c>
      <c r="E4" s="20">
        <f>(D4-C4)/C4*100</f>
        <v/>
      </c>
      <c r="F4" s="4" t="inlineStr">
        <is>
          <t>Y</t>
        </is>
      </c>
      <c r="G4" s="4" t="inlineStr">
        <is>
          <t>차분</t>
        </is>
      </c>
      <c r="H4" s="4" t="inlineStr">
        <is>
          <t>시황이 맞았다</t>
        </is>
      </c>
      <c r="I4" s="4" t="inlineStr">
        <is>
          <t>하이닉스 비중 비교 부족</t>
        </is>
      </c>
      <c r="J4" s="4" t="inlineStr">
        <is>
          <t>대장주-후발주 비교 먼저</t>
        </is>
      </c>
      <c r="K4" s="4" t="inlineStr">
        <is>
          <t>계획대로 매도</t>
        </is>
      </c>
    </row>
    <row r="5">
      <c r="A5" s="4" t="inlineStr">
        <is>
          <t>2026-03-18</t>
        </is>
      </c>
      <c r="B5" s="4" t="inlineStr">
        <is>
          <t>한화에어로</t>
        </is>
      </c>
      <c r="C5" s="18" t="n">
        <v>389500</v>
      </c>
      <c r="D5" s="18" t="n">
        <v>396000</v>
      </c>
      <c r="E5" s="20">
        <f>(D5-C5)/C5*100</f>
        <v/>
      </c>
      <c r="F5" s="4" t="inlineStr">
        <is>
          <t>Y</t>
        </is>
      </c>
      <c r="G5" s="4" t="inlineStr">
        <is>
          <t>보통</t>
        </is>
      </c>
      <c r="H5" s="4" t="inlineStr">
        <is>
          <t>손절 기준 선작성</t>
        </is>
      </c>
      <c r="I5" s="4" t="inlineStr">
        <is>
          <t>정유 대안 비교 부족</t>
        </is>
      </c>
      <c r="J5" s="4" t="inlineStr">
        <is>
          <t>후발주도 같이 보기</t>
        </is>
      </c>
      <c r="K5" s="4" t="inlineStr">
        <is>
          <t>무리 없이 수익</t>
        </is>
      </c>
    </row>
    <row r="6">
      <c r="A6" s="4" t="inlineStr">
        <is>
          <t>2026-03-19</t>
        </is>
      </c>
      <c r="B6" s="4" t="inlineStr">
        <is>
          <t>SK하이닉스</t>
        </is>
      </c>
      <c r="C6" s="18" t="n">
        <v>198500</v>
      </c>
      <c r="D6" s="18" t="n">
        <v>196000</v>
      </c>
      <c r="E6" s="20">
        <f>(D6-C6)/C6*100</f>
        <v/>
      </c>
      <c r="F6" s="4" t="inlineStr">
        <is>
          <t>N</t>
        </is>
      </c>
      <c r="G6" s="4" t="inlineStr">
        <is>
          <t>조급</t>
        </is>
      </c>
      <c r="H6" s="4" t="inlineStr">
        <is>
          <t>시초 체크는 했다</t>
        </is>
      </c>
      <c r="I6" s="4" t="inlineStr">
        <is>
          <t>손절이 늦었다</t>
        </is>
      </c>
      <c r="J6" s="4" t="inlineStr">
        <is>
          <t>손절 자동화 훈련</t>
        </is>
      </c>
      <c r="K6" s="4" t="inlineStr">
        <is>
          <t>규칙 위반 손실</t>
        </is>
      </c>
    </row>
    <row r="7">
      <c r="A7" s="17" t="n"/>
      <c r="B7" s="17" t="n"/>
      <c r="C7" s="19" t="n"/>
      <c r="D7" s="19" t="n"/>
      <c r="E7" s="21" t="n"/>
      <c r="F7" s="17" t="n"/>
      <c r="G7" s="17" t="n"/>
      <c r="H7" s="17" t="n"/>
      <c r="I7" s="17" t="n"/>
      <c r="J7" s="17" t="n"/>
      <c r="K7" s="17" t="n"/>
    </row>
    <row r="8">
      <c r="A8" s="17" t="n"/>
      <c r="B8" s="17" t="n"/>
      <c r="C8" s="19" t="n"/>
      <c r="D8" s="19" t="n"/>
      <c r="E8" s="21" t="n"/>
      <c r="F8" s="17" t="n"/>
      <c r="G8" s="17" t="n"/>
      <c r="H8" s="17" t="n"/>
      <c r="I8" s="17" t="n"/>
      <c r="J8" s="17" t="n"/>
      <c r="K8" s="17" t="n"/>
    </row>
    <row r="9">
      <c r="A9" s="17" t="n"/>
      <c r="B9" s="17" t="n"/>
      <c r="C9" s="19" t="n"/>
      <c r="D9" s="19" t="n"/>
      <c r="E9" s="21" t="n"/>
      <c r="F9" s="17" t="n"/>
      <c r="G9" s="17" t="n"/>
      <c r="H9" s="17" t="n"/>
      <c r="I9" s="17" t="n"/>
      <c r="J9" s="17" t="n"/>
      <c r="K9" s="17" t="n"/>
    </row>
    <row r="10">
      <c r="A10" s="17" t="n"/>
      <c r="B10" s="17" t="n"/>
      <c r="C10" s="19" t="n"/>
      <c r="D10" s="19" t="n"/>
      <c r="E10" s="21" t="n"/>
      <c r="F10" s="17" t="n"/>
      <c r="G10" s="17" t="n"/>
      <c r="H10" s="17" t="n"/>
      <c r="I10" s="17" t="n"/>
      <c r="J10" s="17" t="n"/>
      <c r="K10" s="17" t="n"/>
    </row>
    <row r="11">
      <c r="A11" s="17" t="n"/>
      <c r="B11" s="17" t="n"/>
      <c r="C11" s="19" t="n"/>
      <c r="D11" s="19" t="n"/>
      <c r="E11" s="21" t="n"/>
      <c r="F11" s="17" t="n"/>
      <c r="G11" s="17" t="n"/>
      <c r="H11" s="17" t="n"/>
      <c r="I11" s="17" t="n"/>
      <c r="J11" s="17" t="n"/>
      <c r="K11" s="17" t="n"/>
    </row>
    <row r="12">
      <c r="A12" s="17" t="n"/>
      <c r="B12" s="17" t="n"/>
      <c r="C12" s="19" t="n"/>
      <c r="D12" s="19" t="n"/>
      <c r="E12" s="21" t="n"/>
      <c r="F12" s="17" t="n"/>
      <c r="G12" s="17" t="n"/>
      <c r="H12" s="17" t="n"/>
      <c r="I12" s="17" t="n"/>
      <c r="J12" s="17" t="n"/>
      <c r="K12" s="17" t="n"/>
    </row>
    <row r="13">
      <c r="A13" s="17" t="n"/>
      <c r="B13" s="17" t="n"/>
      <c r="C13" s="19" t="n"/>
      <c r="D13" s="19" t="n"/>
      <c r="E13" s="21" t="n"/>
      <c r="F13" s="17" t="n"/>
      <c r="G13" s="17" t="n"/>
      <c r="H13" s="17" t="n"/>
      <c r="I13" s="17" t="n"/>
      <c r="J13" s="17" t="n"/>
      <c r="K13" s="17" t="n"/>
    </row>
    <row r="14">
      <c r="A14" s="17" t="n"/>
      <c r="B14" s="17" t="n"/>
      <c r="C14" s="19" t="n"/>
      <c r="D14" s="19" t="n"/>
      <c r="E14" s="21" t="n"/>
      <c r="F14" s="17" t="n"/>
      <c r="G14" s="17" t="n"/>
      <c r="H14" s="17" t="n"/>
      <c r="I14" s="17" t="n"/>
      <c r="J14" s="17" t="n"/>
      <c r="K14" s="17" t="n"/>
    </row>
    <row r="15">
      <c r="A15" s="17" t="n"/>
      <c r="B15" s="17" t="n"/>
      <c r="C15" s="19" t="n"/>
      <c r="D15" s="19" t="n"/>
      <c r="E15" s="21" t="n"/>
      <c r="F15" s="17" t="n"/>
      <c r="G15" s="17" t="n"/>
      <c r="H15" s="17" t="n"/>
      <c r="I15" s="17" t="n"/>
      <c r="J15" s="17" t="n"/>
      <c r="K15" s="17" t="n"/>
    </row>
    <row r="16">
      <c r="A16" s="17" t="n"/>
      <c r="B16" s="17" t="n"/>
      <c r="C16" s="19" t="n"/>
      <c r="D16" s="19" t="n"/>
      <c r="E16" s="21" t="n"/>
      <c r="F16" s="17" t="n"/>
      <c r="G16" s="17" t="n"/>
      <c r="H16" s="17" t="n"/>
      <c r="I16" s="17" t="n"/>
      <c r="J16" s="17" t="n"/>
      <c r="K16" s="17" t="n"/>
    </row>
    <row r="17">
      <c r="A17" s="17" t="n"/>
      <c r="B17" s="17" t="n"/>
      <c r="C17" s="19" t="n"/>
      <c r="D17" s="19" t="n"/>
      <c r="E17" s="21" t="n"/>
      <c r="F17" s="17" t="n"/>
      <c r="G17" s="17" t="n"/>
      <c r="H17" s="17" t="n"/>
      <c r="I17" s="17" t="n"/>
      <c r="J17" s="17" t="n"/>
      <c r="K17" s="17" t="n"/>
    </row>
    <row r="18">
      <c r="A18" s="17" t="n"/>
      <c r="B18" s="17" t="n"/>
      <c r="C18" s="19" t="n"/>
      <c r="D18" s="19" t="n"/>
      <c r="E18" s="21" t="n"/>
      <c r="F18" s="17" t="n"/>
      <c r="G18" s="17" t="n"/>
      <c r="H18" s="17" t="n"/>
      <c r="I18" s="17" t="n"/>
      <c r="J18" s="17" t="n"/>
      <c r="K18" s="17" t="n"/>
    </row>
    <row r="19">
      <c r="A19" s="17" t="n"/>
      <c r="B19" s="17" t="n"/>
      <c r="C19" s="19" t="n"/>
      <c r="D19" s="19" t="n"/>
      <c r="E19" s="21" t="n"/>
      <c r="F19" s="17" t="n"/>
      <c r="G19" s="17" t="n"/>
      <c r="H19" s="17" t="n"/>
      <c r="I19" s="17" t="n"/>
      <c r="J19" s="17" t="n"/>
      <c r="K19" s="17" t="n"/>
    </row>
    <row r="20">
      <c r="A20" s="17" t="n"/>
      <c r="B20" s="17" t="n"/>
      <c r="C20" s="19" t="n"/>
      <c r="D20" s="19" t="n"/>
      <c r="E20" s="21" t="n"/>
      <c r="F20" s="17" t="n"/>
      <c r="G20" s="17" t="n"/>
      <c r="H20" s="17" t="n"/>
      <c r="I20" s="17" t="n"/>
      <c r="J20" s="17" t="n"/>
      <c r="K20" s="17" t="n"/>
    </row>
    <row r="21">
      <c r="A21" s="17" t="n"/>
      <c r="B21" s="17" t="n"/>
      <c r="C21" s="19" t="n"/>
      <c r="D21" s="19" t="n"/>
      <c r="E21" s="21" t="n"/>
      <c r="F21" s="17" t="n"/>
      <c r="G21" s="17" t="n"/>
      <c r="H21" s="17" t="n"/>
      <c r="I21" s="17" t="n"/>
      <c r="J21" s="17" t="n"/>
      <c r="K21" s="17" t="n"/>
    </row>
  </sheetData>
  <autoFilter ref="A3:K21"/>
  <mergeCells count="1">
    <mergeCell ref="A1:K1"/>
  </mergeCells>
  <dataValidations count="1">
    <dataValidation sqref="F4:F21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20" customWidth="1" min="3" max="3"/>
    <col width="20" customWidth="1" min="4" max="4"/>
  </cols>
  <sheetData>
    <row r="1" ht="28" customHeight="1">
      <c r="A1" s="1" t="inlineStr">
        <is>
          <t>성과 요약 대시보드</t>
        </is>
      </c>
      <c r="B1" s="2" t="n"/>
      <c r="C1" s="2" t="n"/>
      <c r="D1" s="2" t="n"/>
    </row>
    <row r="3" ht="24" customHeight="1">
      <c r="A3" s="6" t="inlineStr">
        <is>
          <t>KPI</t>
        </is>
      </c>
      <c r="B3" s="6" t="inlineStr">
        <is>
          <t>값</t>
        </is>
      </c>
      <c r="C3" s="6" t="inlineStr">
        <is>
          <t>해석</t>
        </is>
      </c>
      <c r="D3" s="6" t="inlineStr">
        <is>
          <t>비고</t>
        </is>
      </c>
    </row>
    <row r="4">
      <c r="A4" s="4" t="inlineStr">
        <is>
          <t>총 매매 수</t>
        </is>
      </c>
      <c r="B4" s="22">
        <f>COUNTA(Journal!A4:A21)</f>
        <v/>
      </c>
      <c r="C4" s="4" t="inlineStr">
        <is>
          <t>기록된 매매 수</t>
        </is>
      </c>
      <c r="D4" s="4" t="inlineStr"/>
    </row>
    <row r="5">
      <c r="A5" s="4" t="inlineStr">
        <is>
          <t>승률(%)</t>
        </is>
      </c>
      <c r="B5" s="22">
        <f>IFERROR(COUNTIF(Journal!E4:E21,"&gt;0")/COUNT(Journal!E4:E21)*100,0)</f>
        <v/>
      </c>
      <c r="C5" s="4" t="inlineStr">
        <is>
          <t>양수익 거래 비율</t>
        </is>
      </c>
      <c r="D5" s="4" t="inlineStr"/>
    </row>
    <row r="6">
      <c r="A6" s="4" t="inlineStr">
        <is>
          <t>평균 수익률(%)</t>
        </is>
      </c>
      <c r="B6" s="22">
        <f>IFERROR(AVERAGE(Journal!E4:E21),0)</f>
        <v/>
      </c>
      <c r="C6" s="4" t="inlineStr">
        <is>
          <t>건당 평균 수익률</t>
        </is>
      </c>
      <c r="D6" s="4" t="inlineStr"/>
    </row>
    <row r="7">
      <c r="A7" s="4" t="inlineStr">
        <is>
          <t>누적 수익률(%)</t>
        </is>
      </c>
      <c r="B7" s="22">
        <f>SUM(Journal!E4:E21)</f>
        <v/>
      </c>
      <c r="C7" s="4" t="inlineStr">
        <is>
          <t>단순 합산 수익률</t>
        </is>
      </c>
      <c r="D7" s="4" t="inlineStr"/>
    </row>
    <row r="8">
      <c r="A8" s="4" t="inlineStr">
        <is>
          <t>규칙 준수율(%)</t>
        </is>
      </c>
      <c r="B8" s="22">
        <f>IFERROR(COUNTIF(Journal!F4:F21,"Y")/COUNTA(Journal!F4:F21)*100,0)</f>
        <v/>
      </c>
      <c r="C8" s="4" t="inlineStr">
        <is>
          <t>규칙 지킨 비율</t>
        </is>
      </c>
      <c r="D8" s="4" t="inlineStr"/>
    </row>
    <row r="9">
      <c r="A9" s="4" t="inlineStr">
        <is>
          <t>체크리스트 평균점수</t>
        </is>
      </c>
      <c r="B9" s="22">
        <f>IFERROR(AVERAGE(Checklist!D4:D18)*15,0)</f>
        <v/>
      </c>
      <c r="C9" s="4" t="inlineStr">
        <is>
          <t>일일 실행 준비도</t>
        </is>
      </c>
      <c r="D9" s="4" t="inlineStr"/>
    </row>
    <row r="12" ht="22" customHeight="1">
      <c r="A12" s="5" t="inlineStr">
        <is>
          <t>주간/월간 메모</t>
        </is>
      </c>
    </row>
    <row r="13" ht="48" customHeight="1">
      <c r="A13" s="4" t="inlineStr">
        <is>
          <t>이번 주 잘한 점</t>
        </is>
      </c>
      <c r="B13" s="4" t="inlineStr"/>
      <c r="C13" s="4" t="inlineStr">
        <is>
          <t>이번 주 개선점</t>
        </is>
      </c>
      <c r="D13" s="4" t="inlineStr"/>
    </row>
  </sheetData>
  <mergeCells count="2">
    <mergeCell ref="A12:H12"/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2" customWidth="1" min="3" max="3"/>
    <col width="12" customWidth="1" min="4" max="4"/>
    <col width="12" customWidth="1" min="5" max="5"/>
    <col width="24" customWidth="1" min="6" max="6"/>
  </cols>
  <sheetData>
    <row r="1" ht="28" customHeight="1">
      <c r="A1" s="1" t="inlineStr">
        <is>
          <t>30일 훈련표</t>
        </is>
      </c>
      <c r="B1" s="2" t="n"/>
      <c r="C1" s="2" t="n"/>
      <c r="D1" s="2" t="n"/>
      <c r="E1" s="2" t="n"/>
      <c r="F1" s="2" t="n"/>
    </row>
    <row r="3" ht="24" customHeight="1">
      <c r="A3" s="6" t="inlineStr">
        <is>
          <t>Day</t>
        </is>
      </c>
      <c r="B3" s="6" t="inlineStr">
        <is>
          <t>훈련 주제</t>
        </is>
      </c>
      <c r="C3" s="6" t="inlineStr">
        <is>
          <t>완료</t>
        </is>
      </c>
      <c r="D3" s="6" t="inlineStr">
        <is>
          <t>복기</t>
        </is>
      </c>
      <c r="E3" s="6" t="inlineStr">
        <is>
          <t>점수</t>
        </is>
      </c>
      <c r="F3" s="6" t="inlineStr">
        <is>
          <t>메모</t>
        </is>
      </c>
      <c r="H3" s="15" t="inlineStr">
        <is>
          <t>완료율</t>
        </is>
      </c>
      <c r="I3" s="16">
        <f>COUNTIF(C4:C33,"Y")/30*100</f>
        <v/>
      </c>
    </row>
    <row r="4">
      <c r="A4" s="4" t="n">
        <v>1</v>
      </c>
      <c r="B4" s="4" t="inlineStr">
        <is>
          <t>미국장/나스닥/반도체 체크</t>
        </is>
      </c>
      <c r="C4" s="4" t="inlineStr">
        <is>
          <t>Y</t>
        </is>
      </c>
      <c r="D4" s="4" t="inlineStr">
        <is>
          <t>Y</t>
        </is>
      </c>
      <c r="E4" s="4" t="n">
        <v>90</v>
      </c>
      <c r="F4" s="4" t="inlineStr">
        <is>
          <t>기본 흐름 이해</t>
        </is>
      </c>
      <c r="H4" s="15" t="inlineStr">
        <is>
          <t>평균점수</t>
        </is>
      </c>
      <c r="I4" s="16">
        <f>IFERROR(AVERAGE(E4:E33),0)</f>
        <v/>
      </c>
    </row>
    <row r="5">
      <c r="A5" s="4" t="n">
        <v>2</v>
      </c>
      <c r="B5" s="4" t="inlineStr">
        <is>
          <t>유가/금리/환율 읽기</t>
        </is>
      </c>
      <c r="C5" s="4" t="inlineStr">
        <is>
          <t>Y</t>
        </is>
      </c>
      <c r="D5" s="4" t="inlineStr">
        <is>
          <t>Y</t>
        </is>
      </c>
      <c r="E5" s="4" t="n">
        <v>85</v>
      </c>
      <c r="F5" s="4" t="inlineStr">
        <is>
          <t>거시변수 연결 시작</t>
        </is>
      </c>
    </row>
    <row r="6">
      <c r="A6" s="4" t="n">
        <v>3</v>
      </c>
      <c r="B6" s="4" t="inlineStr">
        <is>
          <t>시장 한 줄 결론 쓰기</t>
        </is>
      </c>
      <c r="C6" s="4" t="inlineStr">
        <is>
          <t>Y</t>
        </is>
      </c>
      <c r="D6" s="4" t="inlineStr">
        <is>
          <t>Y</t>
        </is>
      </c>
      <c r="E6" s="4" t="n">
        <v>88</v>
      </c>
      <c r="F6" s="4" t="inlineStr">
        <is>
          <t>한 줄 결론 훈련</t>
        </is>
      </c>
    </row>
    <row r="7">
      <c r="A7" s="4" t="n">
        <v>4</v>
      </c>
      <c r="B7" s="4" t="inlineStr">
        <is>
          <t>섹터 2개 압축</t>
        </is>
      </c>
      <c r="C7" s="4" t="n"/>
      <c r="D7" s="4" t="n"/>
      <c r="E7" s="4" t="n"/>
      <c r="F7" s="4" t="n"/>
    </row>
    <row r="8">
      <c r="A8" s="4" t="n">
        <v>5</v>
      </c>
      <c r="B8" s="4" t="inlineStr">
        <is>
          <t>후보 종목 3개 이내</t>
        </is>
      </c>
      <c r="C8" s="4" t="n"/>
      <c r="D8" s="4" t="n"/>
      <c r="E8" s="4" t="n"/>
      <c r="F8" s="4" t="n"/>
    </row>
    <row r="9">
      <c r="A9" s="4" t="n">
        <v>6</v>
      </c>
      <c r="B9" s="4" t="inlineStr">
        <is>
          <t>재료 한 줄 설명</t>
        </is>
      </c>
      <c r="C9" s="4" t="n"/>
      <c r="D9" s="4" t="n"/>
      <c r="E9" s="4" t="n"/>
      <c r="F9" s="4" t="n"/>
    </row>
    <row r="10">
      <c r="A10" s="4" t="n">
        <v>7</v>
      </c>
      <c r="B10" s="4" t="inlineStr">
        <is>
          <t>거래대금 비교</t>
        </is>
      </c>
      <c r="C10" s="4" t="n"/>
      <c r="D10" s="4" t="n"/>
      <c r="E10" s="4" t="n"/>
      <c r="F10" s="4" t="n"/>
    </row>
    <row r="11">
      <c r="A11" s="4" t="n">
        <v>8</v>
      </c>
      <c r="B11" s="4" t="inlineStr">
        <is>
          <t>외국인/기관 수급 비교</t>
        </is>
      </c>
      <c r="C11" s="4" t="n"/>
      <c r="D11" s="4" t="n"/>
      <c r="E11" s="4" t="n"/>
      <c r="F11" s="4" t="n"/>
    </row>
    <row r="12">
      <c r="A12" s="4" t="n">
        <v>9</v>
      </c>
      <c r="B12" s="4" t="inlineStr">
        <is>
          <t>대장주 vs 후발주 비교</t>
        </is>
      </c>
      <c r="C12" s="4" t="n"/>
      <c r="D12" s="4" t="n"/>
      <c r="E12" s="4" t="n"/>
      <c r="F12" s="4" t="n"/>
    </row>
    <row r="13">
      <c r="A13" s="4" t="n">
        <v>10</v>
      </c>
      <c r="B13" s="4" t="inlineStr">
        <is>
          <t>시세 초입/끝물 구분</t>
        </is>
      </c>
      <c r="C13" s="4" t="n"/>
      <c r="D13" s="4" t="n"/>
      <c r="E13" s="4" t="n"/>
      <c r="F13" s="4" t="n"/>
    </row>
    <row r="14">
      <c r="A14" s="4" t="n">
        <v>11</v>
      </c>
      <c r="B14" s="4" t="inlineStr">
        <is>
          <t>손절 기준 선작성</t>
        </is>
      </c>
      <c r="C14" s="4" t="n"/>
      <c r="D14" s="4" t="n"/>
      <c r="E14" s="4" t="n"/>
      <c r="F14" s="4" t="n"/>
    </row>
    <row r="15">
      <c r="A15" s="4" t="n">
        <v>12</v>
      </c>
      <c r="B15" s="4" t="inlineStr">
        <is>
          <t>익절 기준 선작성</t>
        </is>
      </c>
      <c r="C15" s="4" t="n"/>
      <c r="D15" s="4" t="n"/>
      <c r="E15" s="4" t="n"/>
      <c r="F15" s="4" t="n"/>
    </row>
    <row r="16">
      <c r="A16" s="4" t="n">
        <v>13</v>
      </c>
      <c r="B16" s="4" t="inlineStr">
        <is>
          <t>아침 시나리오 재검토</t>
        </is>
      </c>
      <c r="C16" s="4" t="n"/>
      <c r="D16" s="4" t="n"/>
      <c r="E16" s="4" t="n"/>
      <c r="F16" s="4" t="n"/>
    </row>
    <row r="17">
      <c r="A17" s="4" t="n">
        <v>14</v>
      </c>
      <c r="B17" s="4" t="inlineStr">
        <is>
          <t>계획 매도 실행</t>
        </is>
      </c>
      <c r="C17" s="4" t="n"/>
      <c r="D17" s="4" t="n"/>
      <c r="E17" s="4" t="n"/>
      <c r="F17" s="4" t="n"/>
    </row>
    <row r="18">
      <c r="A18" s="4" t="n">
        <v>15</v>
      </c>
      <c r="B18" s="4" t="inlineStr">
        <is>
          <t>손절 지연 방지</t>
        </is>
      </c>
      <c r="C18" s="4" t="n"/>
      <c r="D18" s="4" t="n"/>
      <c r="E18" s="4" t="n"/>
      <c r="F18" s="4" t="n"/>
    </row>
    <row r="19">
      <c r="A19" s="4" t="n">
        <v>16</v>
      </c>
      <c r="B19" s="4" t="inlineStr">
        <is>
          <t>놓친 종목 기록</t>
        </is>
      </c>
      <c r="C19" s="4" t="n"/>
      <c r="D19" s="4" t="n"/>
      <c r="E19" s="4" t="n"/>
      <c r="F19" s="4" t="n"/>
    </row>
    <row r="20">
      <c r="A20" s="4" t="n">
        <v>17</v>
      </c>
      <c r="B20" s="4" t="inlineStr">
        <is>
          <t>규칙 위반 기록</t>
        </is>
      </c>
      <c r="C20" s="4" t="n"/>
      <c r="D20" s="4" t="n"/>
      <c r="E20" s="4" t="n"/>
      <c r="F20" s="4" t="n"/>
    </row>
    <row r="21">
      <c r="A21" s="4" t="n">
        <v>18</v>
      </c>
      <c r="B21" s="4" t="inlineStr">
        <is>
          <t>잘한 점 1개 쓰기</t>
        </is>
      </c>
      <c r="C21" s="4" t="n"/>
      <c r="D21" s="4" t="n"/>
      <c r="E21" s="4" t="n"/>
      <c r="F21" s="4" t="n"/>
    </row>
    <row r="22">
      <c r="A22" s="4" t="n">
        <v>19</v>
      </c>
      <c r="B22" s="4" t="inlineStr">
        <is>
          <t>수정점 1개 쓰기</t>
        </is>
      </c>
      <c r="C22" s="4" t="n"/>
      <c r="D22" s="4" t="n"/>
      <c r="E22" s="4" t="n"/>
      <c r="F22" s="4" t="n"/>
    </row>
    <row r="23">
      <c r="A23" s="4" t="n">
        <v>20</v>
      </c>
      <c r="B23" s="4" t="inlineStr">
        <is>
          <t>섹터 흐름 복기</t>
        </is>
      </c>
      <c r="C23" s="4" t="n"/>
      <c r="D23" s="4" t="n"/>
      <c r="E23" s="4" t="n"/>
      <c r="F23" s="4" t="n"/>
    </row>
    <row r="24">
      <c r="A24" s="4" t="n">
        <v>21</v>
      </c>
      <c r="B24" s="4" t="inlineStr">
        <is>
          <t>시장-섹터-종목 연결</t>
        </is>
      </c>
      <c r="C24" s="4" t="n"/>
      <c r="D24" s="4" t="n"/>
      <c r="E24" s="4" t="n"/>
      <c r="F24" s="4" t="n"/>
    </row>
    <row r="25">
      <c r="A25" s="4" t="n">
        <v>22</v>
      </c>
      <c r="B25" s="4" t="inlineStr">
        <is>
          <t>대형주/테마주 구분</t>
        </is>
      </c>
      <c r="C25" s="4" t="n"/>
      <c r="D25" s="4" t="n"/>
      <c r="E25" s="4" t="n"/>
      <c r="F25" s="4" t="n"/>
    </row>
    <row r="26">
      <c r="A26" s="4" t="n">
        <v>23</v>
      </c>
      <c r="B26" s="4" t="inlineStr">
        <is>
          <t>끝물 추격 금지 훈련</t>
        </is>
      </c>
      <c r="C26" s="4" t="n"/>
      <c r="D26" s="4" t="n"/>
      <c r="E26" s="4" t="n"/>
      <c r="F26" s="4" t="n"/>
    </row>
    <row r="27">
      <c r="A27" s="4" t="n">
        <v>24</v>
      </c>
      <c r="B27" s="4" t="inlineStr">
        <is>
          <t>관망 기준 만들기</t>
        </is>
      </c>
      <c r="C27" s="4" t="n"/>
      <c r="D27" s="4" t="n"/>
      <c r="E27" s="4" t="n"/>
      <c r="F27" s="4" t="n"/>
    </row>
    <row r="28">
      <c r="A28" s="4" t="n">
        <v>25</v>
      </c>
      <c r="B28" s="4" t="inlineStr">
        <is>
          <t>저녁 준비 20분 루틴</t>
        </is>
      </c>
      <c r="C28" s="4" t="n"/>
      <c r="D28" s="4" t="n"/>
      <c r="E28" s="4" t="n"/>
      <c r="F28" s="4" t="n"/>
    </row>
    <row r="29">
      <c r="A29" s="4" t="n">
        <v>26</v>
      </c>
      <c r="B29" s="4" t="inlineStr">
        <is>
          <t>아침 대응 10분 루틴</t>
        </is>
      </c>
      <c r="C29" s="4" t="n"/>
      <c r="D29" s="4" t="n"/>
      <c r="E29" s="4" t="n"/>
      <c r="F29" s="4" t="n"/>
    </row>
    <row r="30">
      <c r="A30" s="4" t="n">
        <v>27</v>
      </c>
      <c r="B30" s="4" t="inlineStr">
        <is>
          <t>복기 10분 루틴</t>
        </is>
      </c>
      <c r="C30" s="4" t="n"/>
      <c r="D30" s="4" t="n"/>
      <c r="E30" s="4" t="n"/>
      <c r="F30" s="4" t="n"/>
    </row>
    <row r="31">
      <c r="A31" s="4" t="n">
        <v>28</v>
      </c>
      <c r="B31" s="4" t="inlineStr">
        <is>
          <t>주간 요약</t>
        </is>
      </c>
      <c r="C31" s="4" t="n"/>
      <c r="D31" s="4" t="n"/>
      <c r="E31" s="4" t="n"/>
      <c r="F31" s="4" t="n"/>
    </row>
    <row r="32">
      <c r="A32" s="4" t="n">
        <v>29</v>
      </c>
      <c r="B32" s="4" t="inlineStr">
        <is>
          <t>내 전략 한 문장</t>
        </is>
      </c>
      <c r="C32" s="4" t="n"/>
      <c r="D32" s="4" t="n"/>
      <c r="E32" s="4" t="n"/>
      <c r="F32" s="4" t="n"/>
    </row>
    <row r="33">
      <c r="A33" s="4" t="n">
        <v>30</v>
      </c>
      <c r="B33" s="4" t="inlineStr">
        <is>
          <t>30일 총정리</t>
        </is>
      </c>
      <c r="C33" s="4" t="n"/>
      <c r="D33" s="4" t="n"/>
      <c r="E33" s="4" t="n"/>
      <c r="F33" s="4" t="n"/>
    </row>
  </sheetData>
  <autoFilter ref="A3:F33"/>
  <mergeCells count="1">
    <mergeCell ref="A1:F1"/>
  </mergeCells>
  <dataValidations count="2">
    <dataValidation sqref="C4:C33" showDropDown="0" showInputMessage="0" showErrorMessage="0" allowBlank="1" type="list">
      <formula1>"Y,N"</formula1>
    </dataValidation>
    <dataValidation sqref="D4:D33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2026-03-20T04:28:31Z</dcterms:created>
  <dcterms:modified xmlns:dcterms="http://purl.org/dc/terms/" xmlns:xsi="http://www.w3.org/2001/XMLSchema-instance" xsi:type="dcterms:W3CDTF">2026-03-20T04:28:31Z</dcterms:modified>
</cp:coreProperties>
</file>